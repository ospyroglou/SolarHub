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Thiz\Documents\GUNAM\Projects\SolarHub\Ankara Ecosystem\Employment\"/>
    </mc:Choice>
  </mc:AlternateContent>
  <xr:revisionPtr revIDLastSave="0" documentId="13_ncr:1_{A0C098ED-9AB6-4321-AF58-E571374B1B1A}" xr6:coauthVersionLast="47" xr6:coauthVersionMax="47" xr10:uidLastSave="{00000000-0000-0000-0000-000000000000}"/>
  <bookViews>
    <workbookView xWindow="810" yWindow="-120" windowWidth="28110" windowHeight="16440" firstSheet="3" activeTab="5" xr2:uid="{00000000-000D-0000-FFFF-FFFF00000000}"/>
  </bookViews>
  <sheets>
    <sheet name="ham veriler" sheetId="1" r:id="rId1"/>
    <sheet name="İşveren ham veriler" sheetId="6" r:id="rId2"/>
    <sheet name="Analize dahil edilenler" sheetId="3" r:id="rId3"/>
    <sheet name="pivot" sheetId="4" r:id="rId4"/>
    <sheet name="grafikler" sheetId="5" r:id="rId5"/>
    <sheet name="İşveren dahil edilenler" sheetId="8" r:id="rId6"/>
    <sheet name="işveren pivot" sheetId="9" r:id="rId7"/>
    <sheet name="işveren grafikler" sheetId="11" r:id="rId8"/>
  </sheets>
  <calcPr calcId="191029"/>
  <pivotCaches>
    <pivotCache cacheId="0" r:id="rId9"/>
    <pivotCache cacheId="16"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17" i="11" l="1"/>
  <c r="C111" i="11"/>
  <c r="C115" i="11"/>
  <c r="C112" i="11"/>
  <c r="C113" i="11"/>
  <c r="C118" i="11"/>
  <c r="C116" i="11"/>
  <c r="C114" i="11"/>
  <c r="C119" i="11"/>
  <c r="C98" i="11"/>
  <c r="C99" i="11"/>
  <c r="C100" i="11"/>
  <c r="C101" i="11"/>
  <c r="C97" i="11"/>
  <c r="AC31" i="8"/>
  <c r="AD31" i="8"/>
  <c r="AC32" i="8"/>
  <c r="AD32" i="8"/>
  <c r="AC33" i="8"/>
  <c r="AD33" i="8"/>
  <c r="AD30" i="8"/>
  <c r="AC30" i="8"/>
  <c r="B39" i="11"/>
  <c r="C34" i="11" s="1"/>
  <c r="C124" i="5"/>
  <c r="C125" i="5"/>
  <c r="C126" i="5"/>
  <c r="C127" i="5"/>
  <c r="C128" i="5"/>
  <c r="C123" i="5"/>
  <c r="B129" i="5"/>
  <c r="C99" i="5"/>
  <c r="C100" i="5"/>
  <c r="C101" i="5"/>
  <c r="C102" i="5"/>
  <c r="C103" i="5"/>
  <c r="C104" i="5"/>
  <c r="C105" i="5"/>
  <c r="C106" i="5"/>
  <c r="C98" i="5"/>
  <c r="B107" i="5"/>
  <c r="V6" i="5"/>
  <c r="T6" i="5"/>
  <c r="S6" i="5"/>
  <c r="V5" i="5"/>
  <c r="U5" i="5"/>
  <c r="T5" i="5"/>
  <c r="T4" i="5"/>
  <c r="S5" i="5"/>
  <c r="R5" i="5"/>
  <c r="C35" i="11" l="1"/>
  <c r="C36" i="11"/>
  <c r="C33" i="11"/>
  <c r="C38" i="11"/>
  <c r="C32" i="11"/>
  <c r="C31" i="11"/>
  <c r="C37" i="11"/>
</calcChain>
</file>

<file path=xl/sharedStrings.xml><?xml version="1.0" encoding="utf-8"?>
<sst xmlns="http://schemas.openxmlformats.org/spreadsheetml/2006/main" count="3178" uniqueCount="344">
  <si>
    <t>Timestamp</t>
  </si>
  <si>
    <t>Yaşınız:</t>
  </si>
  <si>
    <t>Cinsiyetiniz:</t>
  </si>
  <si>
    <t>Güneş enerjisi sektöründeki toplam iş deneyiminiz:</t>
  </si>
  <si>
    <t xml:space="preserve">Şu an sektörün hangi ana faaliyet alanında çalışmaktasınız? (Birden fazla alan varsa en çok zaman ayırdığınızı seçiniz): </t>
  </si>
  <si>
    <t>Çalıştığınız firmanın toplam personel sayısı nedir?</t>
  </si>
  <si>
    <t>Tamamladığınız en yüksek eğitim seviyesini belirtiniz.</t>
  </si>
  <si>
    <t xml:space="preserve">Halihazırda sahip olduğunuz mesleki sertifikalar nelerdir? (Birden fazla seçilebilir) </t>
  </si>
  <si>
    <t xml:space="preserve">Okuduğum okullarda aldığım eğitim şu an yürüttüğüm görevle doğrudan ilişkilidir. </t>
  </si>
  <si>
    <t>Sahip olduğum mesleki sertifikalar (MYK vb.), yaptığım işin kalitesine ve iş güvenliği farkındalığıma olumlu katkı sağlıyor.</t>
  </si>
  <si>
    <t>İşimdeki yenilikleri ve yeni teknolojileri öğrenebilmem için şirketim bana yeterli eğitim desteği veriyor.</t>
  </si>
  <si>
    <t>Yaptığım işin zorluğuna, sorumluluğuma ve tecrübeme göre, aldığım maaş ve primlerin yeterli olduğunu düşünüyorum.</t>
  </si>
  <si>
    <t xml:space="preserve">Çalıştığım şirket fazla mesai ve resmî tatil ödemesi veya izin kullanımı konularında çalışan haklarına uygun davranıyor.  </t>
  </si>
  <si>
    <t xml:space="preserve">Şehir dışı görevlerde sunulan konaklama, ulaşım ve harcırah imkanlarının kalite ve miktarından memnunum.  </t>
  </si>
  <si>
    <t xml:space="preserve">Mevcut teknik bilgi ve tecrübem sayesinde işsiz kalma endişem yoktur.  </t>
  </si>
  <si>
    <t xml:space="preserve">Şirketinizin piyasadaki durumu ve proje alma potansiyeli sayesinde işsiz kalma endişem yoktur.  </t>
  </si>
  <si>
    <t>Güneş enerjisi gibi temiz geleceğe hizmet eden bir sektörde çalışmak iş memnuniyetime önemli ölçüde katkı sağlıyor.</t>
  </si>
  <si>
    <t>Mevsimsel yoğunluklar ve saha çalışmaları, işimle özel hayatım arasındaki dengeyi olumsuz etkiliyor.</t>
  </si>
  <si>
    <t>Türkiye’deki güneş enerjisi sektörünün önümüzdeki 10 yıl içinde istikrarlı bir şekilde büyüyeceğine ve uzun vadeli bir kariyer için güvenli bir alan olduğunda inanıyorum.</t>
  </si>
  <si>
    <t xml:space="preserve">Projeler kapsamında farklı konumlarda (şehir dışı/yurt dışı) görev alma konusunda çekincem yoktur. </t>
  </si>
  <si>
    <t>Önümüzdeki 2 yıllık süreçte, mesleki yetkinliklerimi artırmaya yönelik (eğitim, sertifika vb.) girişimlerde bulunmayı planlıyorum.</t>
  </si>
  <si>
    <t xml:space="preserve">Taşeron (alt yüklenici) bir firmada çalışıyor olmanızın, iş sürekliliğiniz (her zaman iş bulabilme) üzerindeki etkisi nedir?  </t>
  </si>
  <si>
    <t xml:space="preserve">Güneş enerjisi sektöründeki maaş seviyelerini; bildiğiniz veya deneyimlediğiniz diğer sektörlerle (inşaat, elektrik vb.) kıyasladığınızda nasıl buluyorsunuz? </t>
  </si>
  <si>
    <t xml:space="preserve">Güneş enerjisi sektöründeki kariyerinizi uzun vadeli sürdürmenizde aşağıdaki imkanlardan hangisi en belirleyici etkendir?  </t>
  </si>
  <si>
    <t xml:space="preserve">Önümüzdeki 5 yıllık süreçte profesyonel kariyerinizi hangi alanda sürdürmeyi planlıyorsunuz? </t>
  </si>
  <si>
    <t>Proje: Bu çalışma ODTÜ, ODTÜ-GÜNAM, GÜNDER ve TÜBİTAK'ın da katılımcıları arasında yer aldığı, Avrupa Komisyonu tarafından desteklenen SolarHub Projesi (101086110) kapsamında yürütülmektedir.
Bilgilerin Doğruluğu: Tarafınızca sağlanan bilgilerin, bilginiz dahilinde doğru ve eksiksiz olduğunu onaylıyorsunuz. 
Veri İşleme Onayı: Kişisel verilerinizin KVKK gereklilikleri çerçevesinde  proje raporlama ve bilimsel çıktı üretimi için toplanmasına, kullanılmasına ve işlenmesine izin veriyorsunuz. 
İletişim: Bu anket sonucunda sizinle tekrar iletişim kurulmayacaktır. 
Veri Hakları: Kişisel verilerinize erişim, düzeltme, silme ve onayın geri çekilmesi gibi haklarınızı anladığınızı beyan ediyorsunuz.</t>
  </si>
  <si>
    <t>45 – 54</t>
  </si>
  <si>
    <t>Erkek</t>
  </si>
  <si>
    <t>10 yıl üzeri</t>
  </si>
  <si>
    <t>Araştırma ve Geliştirme Faaliyetleri</t>
  </si>
  <si>
    <t>50 – 249</t>
  </si>
  <si>
    <t>Lisans</t>
  </si>
  <si>
    <t>Sertifikam bulunmuyor.</t>
  </si>
  <si>
    <t>Sadece proje dönemlerinde çalıştığım için bu durumu normal karşılıyorum.</t>
  </si>
  <si>
    <t>Diğer sektörlerden daha düşük.</t>
  </si>
  <si>
    <t xml:space="preserve">İklim değişikliği </t>
  </si>
  <si>
    <t>Güneş enerjisi sektörü dışındaki farklı bir alana veya sektöre geçiş yapmak.</t>
  </si>
  <si>
    <t>Anket kapsamında paylaştığım verilerin, sektörel analizlerde anonim (kimliğim gizli tutularak) şekilde kullanılmasına ve işlenmesine izin veriyorum.</t>
  </si>
  <si>
    <t>35 – 44</t>
  </si>
  <si>
    <t>Proje Geliştirme ve Danışmanlık</t>
  </si>
  <si>
    <t>1 – 9</t>
  </si>
  <si>
    <t>Taşeron firmada çalışmıyorum, iş yerinde kadrolu olarak çalışıyorum.</t>
  </si>
  <si>
    <t>Diğer sektörlerle benzer seviyede.</t>
  </si>
  <si>
    <t>Yok</t>
  </si>
  <si>
    <t>Güneş enerjisi sektöründe kalarak, mevcut rolümde uzmanlaşmaya devam etmek.</t>
  </si>
  <si>
    <t>Açıklamaları anladım ve kabul ederek anketi tamamlıyorum.</t>
  </si>
  <si>
    <t>Kadın</t>
  </si>
  <si>
    <t>5 – 10 yıl</t>
  </si>
  <si>
    <t>Lisansüstü</t>
  </si>
  <si>
    <t>Sektördeki teknolojik değişim hızına ayak uyduramama endişesi</t>
  </si>
  <si>
    <t>1 – 3 yıl</t>
  </si>
  <si>
    <t>na</t>
  </si>
  <si>
    <t>Bilgi sahibi değilim</t>
  </si>
  <si>
    <t>Taşeron sisteminden kaynaklı belirsizlikler</t>
  </si>
  <si>
    <t>Güneş enerjisi sektöründe kalarak, yeni teknolojilere ve uzmanlık alanlarına yönelmek.</t>
  </si>
  <si>
    <t>Güneş Santrali Hizmet Sağlayıcısı (temizlik, güvenlik, vb)</t>
  </si>
  <si>
    <t>10 – 49</t>
  </si>
  <si>
    <t>İş Sağlığı ve Güvenliği (İSG) Sertifikaları, Üretici Odaklı Teknik Eğitim Sertifikaları</t>
  </si>
  <si>
    <t>Hayır, taşeron olmamın bir önemi yok; işim her zaman hazır.</t>
  </si>
  <si>
    <t>İş Güvenliği Uygulamalarının Her gün Daha da Benimsenmesi</t>
  </si>
  <si>
    <t>55 ve üzeri</t>
  </si>
  <si>
    <t>Mühendislik ve Teknik Müşavirlik</t>
  </si>
  <si>
    <t>Meslekî gelişim olanaklarının kısıtlı olması</t>
  </si>
  <si>
    <t>Jeotermal enerji çalışmalarına hız vereceğim.</t>
  </si>
  <si>
    <t>Kurulum, Taahhüt, İnşaat, İşletme, Bakım ve Onarım</t>
  </si>
  <si>
    <t>MYK (Mesleki Yeterlilik Kurumu)  Fotovoltaik Güç Sistemleri Personeli</t>
  </si>
  <si>
    <t xml:space="preserve"> </t>
  </si>
  <si>
    <t>3 – 5 yıl</t>
  </si>
  <si>
    <t>Maaş ve yan hakların diğer sektörlerin gerisinde kalması</t>
  </si>
  <si>
    <t>25 – 34</t>
  </si>
  <si>
    <t>Hücre ve Panel Üretimi</t>
  </si>
  <si>
    <t>500 ve üzeri</t>
  </si>
  <si>
    <t>MYK (Mesleki Yeterlilik Kurumu)  Fotovoltaik Güç Sistemleri Personeli, (MYK) Güneş Isıl Sistem Personeli, İş Sağlığı ve Güvenliği (İSG) Sertifikaları, Ustalık Belgesi</t>
  </si>
  <si>
    <t>Yan hakların (sağlık sigortası, yol/yemek, ikramiye vb.) çeşitliliği</t>
  </si>
  <si>
    <t>Güneş enerjisi sektöründe kalarak, yönetimsel (ekip lideri, şef, müdür vb.) sorumluluklar üstlenmek.</t>
  </si>
  <si>
    <t xml:space="preserve">Sertifikam bulunmuyor., </t>
  </si>
  <si>
    <t>Diksiyon, Proje Yöneticiliği</t>
  </si>
  <si>
    <t>Güneş Santrali Sistem Bileşeni Üretimi (evirici, konstrüksiyon, kablolama, vb.)</t>
  </si>
  <si>
    <t xml:space="preserve">İş Sağlığı ve Güvenliği (İSG) Sertifikaları, </t>
  </si>
  <si>
    <t>50 – 149</t>
  </si>
  <si>
    <t>Sektörün teorik içeriği, üretim imkanları</t>
  </si>
  <si>
    <t>Politikalar sebebiyle sektörün sürdürülebilirliğine inancım yok</t>
  </si>
  <si>
    <t>18 – 24</t>
  </si>
  <si>
    <t>Ortaöğretim</t>
  </si>
  <si>
    <t>İş Sağlığı ve Güvenliği (İSG) Sertifikaları</t>
  </si>
  <si>
    <t>Teknik Lise/ Endüstri Meslek Lisesi</t>
  </si>
  <si>
    <t>İş Sağlığı ve Güvenliği (İSG) Sertifikaları, Ustalık Belgesi</t>
  </si>
  <si>
    <t>Güneş Isıl Sistem Hizmetler</t>
  </si>
  <si>
    <t>İş güvencesi eksikliği (işin sürekli olmaması, sözleşmelerin proje bazlı olması)</t>
  </si>
  <si>
    <t>300 – 499</t>
  </si>
  <si>
    <t>Diğer sektörlerden daha yüksek.</t>
  </si>
  <si>
    <t>Üretici Odaklı Teknik Eğitim Sertifikaları</t>
  </si>
  <si>
    <t>150 – 299</t>
  </si>
  <si>
    <t>Çalışıtığm firmanın uzun vadeli yatuırımlar yaparak geleceği garanti altına laması ve maaş ve yan haklarını sağlaması</t>
  </si>
  <si>
    <t>İş Sağlığı ve Güvenliği (İSG) Sertifikaları, Soft Skill eğitim sertifikaları</t>
  </si>
  <si>
    <t>Yenilenebilir Enerji'nin çevreye ve insanlara faydalı olduğu için</t>
  </si>
  <si>
    <t>Belirtmek istemiyorum.</t>
  </si>
  <si>
    <t>Soru ve cevaplar uyuşmuyor</t>
  </si>
  <si>
    <t>Yüksek Gerilim / EKAT Belgesi, İş Sağlığı ve Güvenliği (İSG) Sertifikaları</t>
  </si>
  <si>
    <t>Denetim, Test ve Belgelendirme</t>
  </si>
  <si>
    <t>Dünya dışı kaynaktan gelen enerjinin elektriksel dönüşümündeki gelişim.</t>
  </si>
  <si>
    <t>Mühendislik diploması</t>
  </si>
  <si>
    <t>Ana şirketin projelerine bağlı olduğum için iş sürekliliğini riskli buluyorum.</t>
  </si>
  <si>
    <t xml:space="preserve">İlk hedef alacağım diğer proje ve ya görevin şuan yürütmekte olan görevimden bilgi ve tecrübemi üst seviyeye çıkartması ikincil hedef maaş ve yan haklar  </t>
  </si>
  <si>
    <t>1 ve 3</t>
  </si>
  <si>
    <t>Yüksek Gerilim / EKAT Belgesi</t>
  </si>
  <si>
    <t>İş Sağlığı ve Güvenliği (İSG) Sertifikaları, Ustalık Belgesi, Ges kurulum kursu</t>
  </si>
  <si>
    <t>Doktora</t>
  </si>
  <si>
    <t>Row Labels</t>
  </si>
  <si>
    <t>Grand Total</t>
  </si>
  <si>
    <t>Kesinlikle katılmıyorum</t>
  </si>
  <si>
    <t>Kesinlikle katılıyorum</t>
  </si>
  <si>
    <t>Katılıyorum</t>
  </si>
  <si>
    <t>Katılmıyorum</t>
  </si>
  <si>
    <t>Kararsız / Tarafsız</t>
  </si>
  <si>
    <t>Count of Önümüzdeki 2 yıllık süreçte, mesleki yetkinliklerimi artırmaya yönelik (eğitim, sertifika vb.) girişimlerde bulunmayı planlıyorum.</t>
  </si>
  <si>
    <t>Column Labels</t>
  </si>
  <si>
    <t>Firmanızın en çok çalışan istihdam edilen faaliyet alanını seçiniz.</t>
  </si>
  <si>
    <t>Firmanızın faaliyet gösterdiği diğer alanları işaretleyiniz.
(Birden fazla seçebilirsiniz)</t>
  </si>
  <si>
    <t>Şirketiniz güneş enerjisi alanında kaç yıldır faaliyet gösteriyor?</t>
  </si>
  <si>
    <t xml:space="preserve">Şirketinizin toplam çalışan sayısı kaç kişidir? </t>
  </si>
  <si>
    <t>Seçtiğiniz ana faaliyet alanındaki yaklaşık yıllık iş hacminizi birim belirterek giriniz (örn: 500 MWp/yıl, 100.000 panel/yıl).</t>
  </si>
  <si>
    <t>Şirket operasyonlarınızın (kurulum, işletme, danışmanlık, vb.) yüzde kaçlık oranı çalışanlarınız tarafında yurt dışında gerçekleştirilmektedir?</t>
  </si>
  <si>
    <t>Firmanızda çalışan personelin faaliyet alanlarına göre dağılımını yaklaşık yüzde (%) olarak belirtiniz.  [Proje Geliştirme ve Mühendislik Tasarımı]</t>
  </si>
  <si>
    <t>Firmanızda çalışan personelin faaliyet alanlarına göre dağılımını yaklaşık yüzde (%) olarak belirtiniz.  [Kurulum, Taahhüt, İnşaat, İşletme, Bakım ve Onarım]</t>
  </si>
  <si>
    <t>Firmanızda çalışan personelin faaliyet alanlarına göre dağılımını yaklaşık yüzde (%) olarak belirtiniz.  [Panel, Hücre ve Diğer Üretim Hatlarında Çalışanlar]</t>
  </si>
  <si>
    <t>Firmanızda çalışan personelin faaliyet alanlarına göre dağılımını yaklaşık yüzde (%) olarak belirtiniz.  [İdari Hizmetler]</t>
  </si>
  <si>
    <t>Firmanızda çalışan personelin faaliyet alanlarına göre dağılımını yaklaşık yüzde (%) olarak belirtiniz.  [Satış Hizmetleri]</t>
  </si>
  <si>
    <t>İstihdam ettiğiniz toplam iş gücünün akademik/teknik eğitim seviyesine göre dağılımını yaklaşık yüzde (%) olarak belirtiniz.  [Doktora]</t>
  </si>
  <si>
    <t>İstihdam ettiğiniz toplam iş gücünün akademik/teknik eğitim seviyesine göre dağılımını yaklaşık yüzde (%) olarak belirtiniz.  [Lisansüstü]</t>
  </si>
  <si>
    <t>İstihdam ettiğiniz toplam iş gücünün akademik/teknik eğitim seviyesine göre dağılımını yaklaşık yüzde (%) olarak belirtiniz.  [Lisans Mezunu]</t>
  </si>
  <si>
    <t>İstihdam ettiğiniz toplam iş gücünün akademik/teknik eğitim seviyesine göre dağılımını yaklaşık yüzde (%) olarak belirtiniz.  [Ön Lisans/ Meslek Yüksekokulu]</t>
  </si>
  <si>
    <t>İstihdam ettiğiniz toplam iş gücünün akademik/teknik eğitim seviyesine göre dağılımını yaklaşık yüzde (%) olarak belirtiniz.  [Ortaöğretim]</t>
  </si>
  <si>
    <t>İstihdam ettiğiniz toplam iş gücünün akademik/teknik eğitim seviyesine göre dağılımını yaklaşık yüzde (%) olarak belirtiniz.  [İlköğretim]</t>
  </si>
  <si>
    <t>Aşağıdaki çalışan gruplarının son 3 yıl içindeki yıllık ortalama çalışan devir oranı* (turnover rate) nasıl tanımlarsınız?  [Üst/Orta Düzey Yönetici ve Strateji Planlama]</t>
  </si>
  <si>
    <t>Aşağıdaki çalışan gruplarının son 3 yıl içindeki yıllık ortalama çalışan devir oranı* (turnover rate) nasıl tanımlarsınız?  [Proje Uzmanı / Mühendis]</t>
  </si>
  <si>
    <t>Aşağıdaki çalışan gruplarının son 3 yıl içindeki yıllık ortalama çalışan devir oranı* (turnover rate) nasıl tanımlarsınız?  [Ar-Ge Mühendisi]</t>
  </si>
  <si>
    <t>Aşağıdaki çalışan gruplarının son 3 yıl içindeki yıllık ortalama çalışan devir oranı* (turnover rate) nasıl tanımlarsınız?  [Proje Teknik Personeli]</t>
  </si>
  <si>
    <t>Aşağıdaki çalışan gruplarının son 3 yıl içindeki yıllık ortalama çalışan devir oranı* (turnover rate) nasıl tanımlarsınız?  [Giriş Seviyesi Mühendisler]</t>
  </si>
  <si>
    <t>Aşağıdaki çalışan gruplarının son 3 yıl içindeki yıllık ortalama çalışan devir oranı* (turnover rate) nasıl tanımlarsınız?  [Uzman Teknisyen ve Operatörler]</t>
  </si>
  <si>
    <t>Aşağıdaki çalışan gruplarının son 3 yıl içindeki yıllık ortalama çalışan devir oranı* (turnover rate) nasıl tanımlarsınız?  [Saha elemanı (Vasıfsız İşçi)]</t>
  </si>
  <si>
    <t>Aşağıdaki çalışan gruplarının son 3 yıl içindeki yıllık ortalama çalışan devir oranı* (turnover rate) nasıl tanımlarsınız?  [İdari Personel]</t>
  </si>
  <si>
    <t>Toplam iş gücünüzün istihdam türüne göre yaklaşık yüzde (%) dağılımını belirtiniz [Tam Zamanlı/Kadrolu]</t>
  </si>
  <si>
    <t>Toplam iş gücünüzün istihdam türüne göre yaklaşık yüzde (%) dağılımını belirtiniz [Proje Bazlı/ Geçici]</t>
  </si>
  <si>
    <t>Şirketinizdeki kadın çalışan oranı yaklaşık olarak nedir? [Teknik Pozisyonlar]</t>
  </si>
  <si>
    <t>Şirketinizdeki kadın çalışan oranı yaklaşık olarak nedir? [Yönetim ve İdari Pozisyonlar ]</t>
  </si>
  <si>
    <t>Mesleki yeterlilik kuruluşlarından belgelendirilmiş personelin saha performansı, şirketimizin kalite standartlarını ve uluslararası uygulama kriterlerini karşılamaktadır.</t>
  </si>
  <si>
    <t xml:space="preserve">Yetişmiş personelimizin rakip firmalar tarafından transfer edilme sıklığı oldukça yüksektir. </t>
  </si>
  <si>
    <t xml:space="preserve">Yeni mezun mühendis ve teknik personel adaylarının “göreve hazır bulunuşluk” düzeyleri ile üniversite müfredatının sahadaki teknik sorunları çözmedeki yeterliliği firmamızın beklentilerini karşılamaktadır. </t>
  </si>
  <si>
    <t>Ülkemizdeki mevzuatın karmaşıklığı firmamızın uzun vadeli istihdam ve insan kaynağı stratejilerini olumsuz etkilemektedir.</t>
  </si>
  <si>
    <t>Yetişmiş teknik personelimizin güneş enerjisi sektörü dışındaki alanlara (yazılım, inşaat, otomotiv vb.) geçiş yapma oranı yüksektir.</t>
  </si>
  <si>
    <t>Projelerimizin bölgesel dağılımındaki dengesizliklerin ve mevsimsel iş yoğunluğunun yarattığı “saha yorgunluğunu” önlemek adına rotasyon veya ek dinlenme süreleri gibi somut politikalar uygulamaktayız.</t>
  </si>
  <si>
    <t xml:space="preserve">Aşağıdaki pozisyon gruplarından hangisinde nitelikli aday bulmakta en fazla zorluk yaşamaktasınız? </t>
  </si>
  <si>
    <t xml:space="preserve">Teknik personel alım süreçlerinde karşılaştığınız en önemli 3 engel aşağıdakilerden hangisidir? </t>
  </si>
  <si>
    <t xml:space="preserve">Son 3 yıl içerisinde firmanızın iş hacmindeki değişim ile personel sayınızdaki değişim arasındaki ilişkiyi en iyi hangisi tanımlar? </t>
  </si>
  <si>
    <t xml:space="preserve">Personelinize yönelik kurum içi mesleki ve teknik eğitim programı uygulamalarında çalışan başına düşen yıllık ortalama eğitim süresini belirtiniz? </t>
  </si>
  <si>
    <t xml:space="preserve">Firmanızın beceri açığını kapatmak adına eğitim ve akademik kurumlarla yürüttüğü iş birliği modellerinden hangisi en yüksek verimliliği sağlamaktadır? </t>
  </si>
  <si>
    <t xml:space="preserve">İstifa eden personelin sunduğu temel gerekçeler arasında en baskın olanı hangisidir? </t>
  </si>
  <si>
    <t xml:space="preserve">Çalışan bağlılığını arttırmak için şirketinizde kullanılan en etkili yöntemleri seçiniz? </t>
  </si>
  <si>
    <t xml:space="preserve">Türkiye'nin 2035 hedefleri doğrultusunda sektörün giderek olgunlaşmasıyla birlikte, önümüzdeki yıllar içinde istihdamın hangi alanlarda yoğunlaşacağını düşünüyorsunuz? </t>
  </si>
  <si>
    <t xml:space="preserve">Önümüzdeki 2 yılda, firmanızın mevcut istihdam hacminde öngördüğünüz değişim oranı nedir? </t>
  </si>
  <si>
    <t>Önümüzdeki 2 yıllık süreçteki istihdam değişim öngörünüzü etkileyen en önemli 3 faktörü seçiniz.</t>
  </si>
  <si>
    <t>Proje Geliştirme ve Danışmanlık, Mühendislik ve Teknik Müşavirlik, Güneş Santrali Hizmet Sağlayıcısı (temizlik, güvenlik, vb)</t>
  </si>
  <si>
    <t>2008-02-07</t>
  </si>
  <si>
    <t>1 gw</t>
  </si>
  <si>
    <t>%16-25 arası</t>
  </si>
  <si>
    <t>%0-10 arası</t>
  </si>
  <si>
    <t>%11-20 arası</t>
  </si>
  <si>
    <t>%21-30 arası</t>
  </si>
  <si>
    <t>%31-40 arası</t>
  </si>
  <si>
    <t>%50 üzeri</t>
  </si>
  <si>
    <t>%10'dan az</t>
  </si>
  <si>
    <t>Saha elemanı (Vasıfsız İşçi)</t>
  </si>
  <si>
    <t>Personel sayımız, iş hacmimizdeki artıştan daha sınırlı bir oranda arttı.</t>
  </si>
  <si>
    <t>81 saat ve üzeri</t>
  </si>
  <si>
    <t>Şirket içindeki kariyer ilerleme imkanlarının belirsizliği</t>
  </si>
  <si>
    <t>Performans bazlı prim ve hisse opsiyonu sistemleri</t>
  </si>
  <si>
    <t xml:space="preserve">İdari Hizmetler, Satış Hizmetleri, İklim değişikliği </t>
  </si>
  <si>
    <t>Sabit</t>
  </si>
  <si>
    <t>Ar-Ge Odaklılık</t>
  </si>
  <si>
    <t>Proje Geliştirme ve Danışmanlık, Araştırma ve Geliştirme Faaliyetleri</t>
  </si>
  <si>
    <t>16 yıl ve üzeri</t>
  </si>
  <si>
    <t>10 mwp/yil</t>
  </si>
  <si>
    <t>%20'den azı</t>
  </si>
  <si>
    <t>%61'den fazla</t>
  </si>
  <si>
    <t>%0 - 20</t>
  </si>
  <si>
    <t>%0-20 arası</t>
  </si>
  <si>
    <t>Proje Uzmanı / Mühendis</t>
  </si>
  <si>
    <t>İletişim ve Dil Bariyeri</t>
  </si>
  <si>
    <t>İş hacmi arttı, personel sayısı sabit kaldı / azaldı.</t>
  </si>
  <si>
    <t>17-40 saat arası</t>
  </si>
  <si>
    <t>Herhangi bir iş birliği yapılmıyor.</t>
  </si>
  <si>
    <t>Başka firmalardan gelen daha yüksek ücret ve yan hak teklifleri</t>
  </si>
  <si>
    <t>Güçlü şirket kültürü ve sosyal bağlar, İşin anlamı ve sosyal etki</t>
  </si>
  <si>
    <t>Enerji Depolama, Akıllı şebeke Çözümleri, Panel Ömür Sonu Yönetimi</t>
  </si>
  <si>
    <t>%0-25 arasında artış</t>
  </si>
  <si>
    <t>Yeni Yatırımlar ve Kapasite Artışı</t>
  </si>
  <si>
    <t>150 civarı</t>
  </si>
  <si>
    <t>-</t>
  </si>
  <si>
    <t>%40 - %60 arası</t>
  </si>
  <si>
    <t>%41-60 arası</t>
  </si>
  <si>
    <t>Ücret ve Yan Hak Beklentileri</t>
  </si>
  <si>
    <t>0-16 saat arası</t>
  </si>
  <si>
    <t>KOSGEB, İŞKUR gibi kurumların uyguladığı programlar</t>
  </si>
  <si>
    <t>Farklı bir sektöre geçiş yapma isteği</t>
  </si>
  <si>
    <t>Özel/tamamlayıcı sağlık sigortası, yemek/ulaşım desteği vb., Kariyer gelişimi ve sürekli öğrenme, Esnek çalışma modelleri ve iş-yaşam dengesi</t>
  </si>
  <si>
    <t>Panel, Hücre veya Ekipman Üretimi, Satış Hizmetleri, Enerji Depolama</t>
  </si>
  <si>
    <t>Yeni Yatırımlar ve Kapasite Artışı, Coğrafi Genişleme</t>
  </si>
  <si>
    <t>Yazılım ve Dijitalleşme Hizmetleri</t>
  </si>
  <si>
    <t>4 - 7 yıl</t>
  </si>
  <si>
    <t>evsel günde 20 proje çizimi</t>
  </si>
  <si>
    <t>%80'den fazlası</t>
  </si>
  <si>
    <t>%41 - 60</t>
  </si>
  <si>
    <t>%21 - 40</t>
  </si>
  <si>
    <t>%21-40 arası</t>
  </si>
  <si>
    <t>%21 - 30</t>
  </si>
  <si>
    <t>%41'den fazla</t>
  </si>
  <si>
    <t>%0 - 10</t>
  </si>
  <si>
    <t>Üst/Orta Düzey Yönetici ve Strateji Planlama</t>
  </si>
  <si>
    <t>Ücret ve Yan Hak Beklentileri, Teknik Yetkinlik Yetersizliği</t>
  </si>
  <si>
    <t>İş hacmi ve personel sayısı birlikte arttı.</t>
  </si>
  <si>
    <t>41-80 saat arası</t>
  </si>
  <si>
    <t>Uzun dönemli staj ve aday mühendis programları</t>
  </si>
  <si>
    <t>Mevcut çalışma koşulları, kurum kültürü veya yönetimsel süreçlerden duyulan memnuniyetsizlik</t>
  </si>
  <si>
    <t>Kariyer gelişimi ve sürekli öğrenme, Güçlü şirket kültürü ve sosyal bağlar</t>
  </si>
  <si>
    <t>%25'ten fazla artış</t>
  </si>
  <si>
    <t>Yatırım Hızında ve Kapasitede Değişiklikler, Depolama ve Diğer Yeni Teknolojiler, Mevzuat Değişiklikleri</t>
  </si>
  <si>
    <t>Kurulum, Taahhüt, İnşaat, İşletme, Bakım ve Onarım, Güneş Santrali Sistem Bileşeni Üretimi (evirici, konstrüksiyon, kablolama, vb.), Araştırma ve Geliştirme Faaliyetleri</t>
  </si>
  <si>
    <t>12 - 15 yıl</t>
  </si>
  <si>
    <t>400 MWp/yıl</t>
  </si>
  <si>
    <t>%11 - 20</t>
  </si>
  <si>
    <t>Ar-Ge Mühendisi</t>
  </si>
  <si>
    <t>Kurum içi eğitim programı uygulanmıyor</t>
  </si>
  <si>
    <t>Rekabetçi maaş ve prim sistemleri, Özel/tamamlayıcı sağlık sigortası, yemek/ulaşım desteği vb., Güçlü şirket kültürü ve sosyal bağlar</t>
  </si>
  <si>
    <t>Proje Geliştirme ve Mühendislik Tasarımı, Satış Hizmetleri, Enerji Depolama</t>
  </si>
  <si>
    <t>Yatırım Hızında ve Kapasitede Değişiklikler, Ar-Ge Odaklılık, Teşvikler</t>
  </si>
  <si>
    <t>Kurulum, Taahhüt, İnşaat, İşletme, Bakım ve Onarım, Güneş Santrali Hizmet Sağlayıcısı (temizlik, güvenlik, vb)</t>
  </si>
  <si>
    <t>8 - 11 yıl</t>
  </si>
  <si>
    <t>%41-60</t>
  </si>
  <si>
    <t>Teknik Yetkinlik Yetersizliği, Saha çalışmasına isteksizlik, İletişim ve Dil Bariyeri</t>
  </si>
  <si>
    <t>İş hacmi ve personel sayısı birlikte azaldı.</t>
  </si>
  <si>
    <t>Rekabetçi maaş ve prim sistemleri, Özel/tamamlayıcı sağlık sigortası, yemek/ulaşım desteği vb., Esnek çalışma modelleri ve iş-yaşam dengesi</t>
  </si>
  <si>
    <t>Veri Yönetimi ve Dijitalleşme, Enerji Depolama, Akıllı şebeke Çözümleri</t>
  </si>
  <si>
    <t>Güneş Santralı Yatırımcısı, Güneş Paneli ve Hücre Distribitörlüğü ve Tedariği</t>
  </si>
  <si>
    <t>800 MW/yıl</t>
  </si>
  <si>
    <t>%21-40</t>
  </si>
  <si>
    <t>Uzman Teknisyen ve Operatörler</t>
  </si>
  <si>
    <t>Özel/tamamlayıcı sağlık sigortası, yemek/ulaşım desteği vb., Güçlü şirket kültürü ve sosyal bağlar, İşin anlamı ve sosyal etki</t>
  </si>
  <si>
    <t>Kurulum, Taahhüt, İnşaat, İşletme, Bakım ve Onarım, Satış Hizmetleri, Akıllı şebeke Çözümleri</t>
  </si>
  <si>
    <t>Yatırım Hızında ve Kapasitede Değişiklikler, Yerli Üretim Odaklılı, Mevzuat Değişiklikleri</t>
  </si>
  <si>
    <t>Proje Geliştirme ve Danışmanlık, Mühendislik ve Teknik Müşavirlik, Kurulum, Taahhüt, İnşaat, İşletme, Bakım ve Onarım, Yazılım ve Dijitalleşme Hizmetleri, Araştırma ve Geliştirme Faaliyetleri</t>
  </si>
  <si>
    <t>Yaklaşık 150 MWh/yıl</t>
  </si>
  <si>
    <t>Teknik Yetkinlik Yetersizliği</t>
  </si>
  <si>
    <t>Rekabetçi maaş ve prim sistemleri, Kariyer gelişimi ve sürekli öğrenme, Esnek çalışma modelleri ve iş-yaşam dengesi</t>
  </si>
  <si>
    <t>Proje Geliştirme ve Mühendislik Tasarımı, Kurulum, Taahhüt, İnşaat, İşletme, Bakım ve Onarım, Enerji Depolama</t>
  </si>
  <si>
    <t>Yatırım Hızında ve Kapasitede Değişiklikler, Depolama ve Diğer Yeni Teknolojiler, Coğrafi Faaliyet Alanlarında Değişiklikler</t>
  </si>
  <si>
    <t>Mühendislik ve Teknik Müşavirlik, Kurulum, Taahhüt, İnşaat, İşletme, Bakım ve Onarım</t>
  </si>
  <si>
    <t>20 MWp</t>
  </si>
  <si>
    <t>Ücret ve Yan Hak Beklentileri, Teknik Yetkinlik Yetersizliği, Saha çalışmasına isteksizlik</t>
  </si>
  <si>
    <t>Kariyer gelişimi ve sürekli öğrenme, Esnek çalışma modelleri ve iş-yaşam dengesi, Güçlü şirket kültürü ve sosyal bağlar</t>
  </si>
  <si>
    <t>Yatırım Hızında ve Kapasitede Değişiklikler, Mevzuat Değişiklikleri, Teşvikler</t>
  </si>
  <si>
    <t>Güneş Santralı Yatırımcısı, Proje Geliştirme ve Danışmanlık, Mühendislik ve Teknik Müşavirlik, Kurulum, Taahhüt, İnşaat, İşletme, Bakım ve Onarım, Güneş Santrali Sistem Bileşeni Üretimi (evirici, konstrüksiyon, kablolama, vb.)</t>
  </si>
  <si>
    <t>100 MWp/yıl</t>
  </si>
  <si>
    <t>Özel/tamamlayıcı sağlık sigortası, yemek/ulaşım desteği vb.</t>
  </si>
  <si>
    <t>Akıllı şebeke Çözümleri, Aslında, izlenen politikalar nedeniyle hiçbir alanda istihdamın yoğunlaşacağını düşünmüyorum.</t>
  </si>
  <si>
    <t>%0-25 arasında azalma</t>
  </si>
  <si>
    <t>Yatırım Hızında ve Kapasitede Değişiklikler, Mevzuat Değişiklikleri</t>
  </si>
  <si>
    <t>Proje Geliştirme ve Danışmanlık, Hücre ve Panel Üretimi</t>
  </si>
  <si>
    <t>1500 MWp/yık</t>
  </si>
  <si>
    <t>Ücret ve Yan Hak Beklentileri, Saha çalışmasına isteksizlik, İletişim ve Dil Bariyeri</t>
  </si>
  <si>
    <t>Özel/tamamlayıcı sağlık sigortası, yemek/ulaşım desteği vb., Güçlü şirket kültürü ve sosyal bağlar</t>
  </si>
  <si>
    <t>Proje Geliştirme ve Mühendislik Tasarımı, Panel, Hücre veya Ekipman Üretimi, Enerji Depolama</t>
  </si>
  <si>
    <t>Yatırım Hızında ve Kapasitede Değişiklikler, Depolama ve Diğer Yeni Teknolojiler</t>
  </si>
  <si>
    <t>0 - 3 yıl</t>
  </si>
  <si>
    <t>250 mwp/yil</t>
  </si>
  <si>
    <t>%31 - 40</t>
  </si>
  <si>
    <t>Proje Teknik Personeli</t>
  </si>
  <si>
    <t>İş hacmi sabit kaldı, personel sayısı sabit kaldı / arttı.</t>
  </si>
  <si>
    <t>Panel, Hücre veya Ekipman Üretimi</t>
  </si>
  <si>
    <t>Yatırım Hızında ve Kapasitede Değişiklikler</t>
  </si>
  <si>
    <t>Proje Geliştirme ve Danışmanlık, Mühendislik ve Teknik Müşavirlik, Kurulum, Taahhüt, İnşaat, İşletme, Bakım ve Onarım</t>
  </si>
  <si>
    <t>5 MWp /yıl</t>
  </si>
  <si>
    <t>İş hacmi azaldı, personel sayısı sabit kaldı / arttı.</t>
  </si>
  <si>
    <t>Mezuniyet sonrası doğrudan istihdam garantili eğitimler</t>
  </si>
  <si>
    <t>Rekabetçi maaş ve prim sistemleri, Esnek çalışma modelleri ve iş-yaşam dengesi, Güçlü şirket kültürü ve sosyal bağlar</t>
  </si>
  <si>
    <t>Proje Geliştirme ve Mühendislik Tasarımı, Enerji Depolama, Akıllı şebeke Çözümleri</t>
  </si>
  <si>
    <t>Proje Geliştirme ve Danışmanlık, Güneş Santrali Sistem Bileşeni Üretimi (evirici, konstrüksiyon, kablolama, vb.), Yazılım ve Dijitalleşme Hizmetleri</t>
  </si>
  <si>
    <t>10 MWp/yıl</t>
  </si>
  <si>
    <t>Ücret ve Yan Hak Beklentileri, Teknik Yetkinlik Yetersizliği, İletişim ve Dil Bariyeri</t>
  </si>
  <si>
    <t>Kurulum, Taahhüt, İnşaat, İşletme, Bakım ve Onarım, Veri Yönetimi ve Dijitalleşme, Enerji Depolama</t>
  </si>
  <si>
    <t>Teknik Yetkinlik Yetersizliği, Coğrafi Lokasyon Zorlukları, İletişim ve Dil Bariyeri</t>
  </si>
  <si>
    <t>Ticari nitelikli kurslar</t>
  </si>
  <si>
    <t>Kurulum, Taahhüt, İnşaat, İşletme, Bakım ve Onarım, Enerji Depolama, Akıllı şebeke Çözümleri</t>
  </si>
  <si>
    <t>Yatırım Hızında ve Kapasitede Değişiklikler, Depolama ve Diğer Yeni Teknolojiler, Yerli Üretim Odaklılı</t>
  </si>
  <si>
    <t>Güneş Santralı Yatırımcısı, Mühendislik ve Teknik Müşavirlik, Kurulum, Taahhüt, İnşaat, İşletme, Bakım ve Onarım, Güneş Santrali Hizmet Sağlayıcısı (temizlik, güvenlik, vb), Yazılım ve Dijitalleşme Hizmetleri, Araştırma ve Geliştirme Faaliyetleri</t>
  </si>
  <si>
    <t>15 MWp/yıl</t>
  </si>
  <si>
    <t>%25'ten fazla azalma</t>
  </si>
  <si>
    <t>Yatırım Hızında ve Kapasitede Değişiklikler, Mevzuat Değişiklikleri, Altyapı ve kapasite yetersizliği</t>
  </si>
  <si>
    <t>Güneş Santralı Yatırımcısı, Proje Geliştirme ve Danışmanlık, Mühendislik ve Teknik Müşavirlik, Kurulum, Taahhüt, İnşaat, İşletme, Bakım ve Onarım</t>
  </si>
  <si>
    <t>500 MWp/yıl</t>
  </si>
  <si>
    <t>Güneş Santralı Yatırımcısı, Hücre ve Panel Üretimi</t>
  </si>
  <si>
    <t>500 Mwp</t>
  </si>
  <si>
    <t>Depolama ve Diğer Yeni Teknolojiler, Yerli Üretim Odaklılı, Mevzuat Değişiklikleri</t>
  </si>
  <si>
    <t>Güneş Santralı Yatırımcısı</t>
  </si>
  <si>
    <t>2GW</t>
  </si>
  <si>
    <t>Panel, Hücre veya Ekipman Üretimi, Veri Yönetimi ve Dijitalleşme, Akıllı şebeke Çözümleri</t>
  </si>
  <si>
    <t>Yatırım Hızında ve Kapasitede Değişiklikler, Teşvikler</t>
  </si>
  <si>
    <t>Güneş Santralı Yatırımcısı, Mühendislik ve Teknik Müşavirlik, Kurulum, Taahhüt, İnşaat, İşletme, Bakım ve Onarım, Güneş Santrali Hizmet Sağlayıcısı (temizlik, güvenlik, vb), Hücre ve Panel Üretimi, Güneş Santrali Sistem Bileşeni Üretimi (evirici, konstrüksiyon, kablolama, vb.), Yazılım ve Dijitalleşme Hizmetleri</t>
  </si>
  <si>
    <t>1000 MWp/Yıl, 1.600.000 panel/Yıl</t>
  </si>
  <si>
    <t>Ücret ve Yan Hak Beklentileri, Coğrafi Lokasyon Zorlukları, Saha çalışmasına isteksizlik</t>
  </si>
  <si>
    <t>MEB ÇIRAKLIK EĞİTİMİ, STAJYER VE İŞKUR PROGRAMLARI</t>
  </si>
  <si>
    <t>Saha çalışmalarının yarattığı iş-yaşam dengesi sorunları</t>
  </si>
  <si>
    <t>Panel, Hücre veya Ekipman Üretimi, Veri Yönetimi ve Dijitalleşme, Enerji Depolama</t>
  </si>
  <si>
    <t>Yatırım Hızında ve Kapasitede Değişiklikler, Depolama ve Diğer Yeni Teknolojiler, Teşvikler</t>
  </si>
  <si>
    <t>Mühendislik ve Teknik Müşavirlik, Kurulum, Taahhüt, İnşaat, İşletme, Bakım ve Onarım, Hücre ve Panel Üretimi</t>
  </si>
  <si>
    <t>400 MWp</t>
  </si>
  <si>
    <t>Saha çalışmasına isteksizlik, İletişim ve Dil Bariyeri</t>
  </si>
  <si>
    <t>Kariyer gelişimi ve sürekli öğrenme, Esnek çalışma modelleri ve iş-yaşam dengesi, İşin anlamı ve sosyal etki</t>
  </si>
  <si>
    <t>Güneş Santralı Yatırımcısı, Mühendislik ve Teknik Müşavirlik</t>
  </si>
  <si>
    <t>İş hacmi sabit kaldı, personel sayısı azaldı.</t>
  </si>
  <si>
    <t>500 MWp</t>
  </si>
  <si>
    <t>Teknik Yetkinlik Yetersizliği, Coğrafi Lokasyon Zorlukları, Saha çalışmasına isteksizlik</t>
  </si>
  <si>
    <t>Rekabetçi maaş ve prim sistemleri, Esnek çalışma modelleri ve iş-yaşam dengesi</t>
  </si>
  <si>
    <t>Count of Şirketiniz güneş enerjisi alanında kaç yıldır faaliyet gösteriyor?</t>
  </si>
  <si>
    <t>0 - 3</t>
  </si>
  <si>
    <t xml:space="preserve">12 - 15 </t>
  </si>
  <si>
    <t xml:space="preserve">4 - 7 </t>
  </si>
  <si>
    <t xml:space="preserve">8 - 11 </t>
  </si>
  <si>
    <t>Count of Şirket operasyonlarınızın (kurulum, işletme, danışmanlık, vb.) yüzde kaçlık oranı çalışanlarınız tarafında yurt dışında gerçekleştirilmektedir?</t>
  </si>
  <si>
    <t>Count of Firmanızın en çok çalışan istihdam edilen faaliyet alanını seçiniz.</t>
  </si>
  <si>
    <t>Yüksek Lisans</t>
  </si>
  <si>
    <t>Ön Lisans/ Meslek Yüksekokulu</t>
  </si>
  <si>
    <t>İlköğretim</t>
  </si>
  <si>
    <t>Teknik Posizyonlar</t>
  </si>
  <si>
    <t>Yönetim ve İdari Pozisyonlar</t>
  </si>
  <si>
    <t xml:space="preserve">Sum of Yeni mezun mühendis ve teknik personel adaylarının “göreve hazır bulunuşluk” düzeyleri ile üniversite müfredatının sahadaki teknik sorunları çözmedeki yeterliliği firmamızın beklentilerini karşılamaktadır. </t>
  </si>
  <si>
    <t xml:space="preserve">Count of Önümüzdeki 2 yılda, firmanızın mevcut istihdam hacminde öngördüğünüz değişim oranı nedir? </t>
  </si>
  <si>
    <t>Depolama ve Diğer Yeni Teknolojiler</t>
  </si>
  <si>
    <t>Mevzuat Değişiklikleri</t>
  </si>
  <si>
    <t>Yerli Üretim Odaklılık</t>
  </si>
  <si>
    <t>Coğrafi Faaliyet Alanlarında Değişiklikler</t>
  </si>
  <si>
    <t>Teşvikler</t>
  </si>
  <si>
    <t>Altyapı ve kapasite yetersizliği</t>
  </si>
  <si>
    <t>İşletme ve Bakım İhtiyaçları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</si>
</sst>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x14ac:knownFonts="1">
    <font>
      <sz val="10"/>
      <color rgb="FF000000"/>
      <name val="Century Gothic"/>
      <scheme val="minor"/>
    </font>
    <font>
      <sz val="10"/>
      <color theme="1"/>
      <name val="Century Gothic"/>
      <scheme val="minor"/>
    </font>
    <font>
      <sz val="10"/>
      <color rgb="FF000000"/>
      <name val="Century Gothic"/>
      <family val="2"/>
      <scheme val="minor"/>
    </font>
    <font>
      <sz val="10"/>
      <color rgb="FF000000"/>
      <name val="Century Gothic"/>
      <scheme val="minor"/>
    </font>
  </fonts>
  <fills count="2">
    <fill>
      <patternFill patternType="none"/>
    </fill>
    <fill>
      <patternFill patternType="gray125"/>
    </fill>
  </fills>
  <borders count="12">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s>
  <cellStyleXfs count="2">
    <xf numFmtId="0" fontId="0" fillId="0" borderId="0"/>
    <xf numFmtId="9" fontId="3" fillId="0" borderId="0" applyFont="0" applyFill="0" applyBorder="0" applyAlignment="0" applyProtection="0"/>
  </cellStyleXfs>
  <cellXfs count="37">
    <xf numFmtId="0" fontId="0" fillId="0" borderId="0" xfId="0" applyFont="1" applyAlignment="1"/>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vertical="center"/>
    </xf>
    <xf numFmtId="0" fontId="0" fillId="0" borderId="1" xfId="0" pivotButton="1" applyFont="1" applyBorder="1" applyAlignment="1"/>
    <xf numFmtId="0" fontId="0" fillId="0" borderId="3" xfId="0" applyFont="1" applyBorder="1" applyAlignment="1"/>
    <xf numFmtId="0" fontId="0" fillId="0" borderId="1" xfId="0" applyFont="1" applyBorder="1" applyAlignment="1">
      <alignment horizontal="left"/>
    </xf>
    <xf numFmtId="0" fontId="0" fillId="0" borderId="3" xfId="0" applyNumberFormat="1" applyFont="1" applyBorder="1" applyAlignment="1"/>
    <xf numFmtId="0" fontId="0" fillId="0" borderId="4" xfId="0" applyNumberFormat="1" applyFont="1" applyBorder="1" applyAlignment="1"/>
    <xf numFmtId="0" fontId="0" fillId="0" borderId="2" xfId="0" applyFont="1" applyBorder="1" applyAlignment="1">
      <alignment horizontal="left"/>
    </xf>
    <xf numFmtId="0" fontId="0" fillId="0" borderId="6" xfId="0" applyFont="1" applyBorder="1" applyAlignment="1">
      <alignment horizontal="left"/>
    </xf>
    <xf numFmtId="0" fontId="0" fillId="0" borderId="5" xfId="0" applyNumberFormat="1" applyFont="1" applyBorder="1" applyAlignment="1"/>
    <xf numFmtId="0" fontId="0" fillId="0" borderId="1" xfId="0" applyFont="1" applyBorder="1" applyAlignment="1"/>
    <xf numFmtId="0" fontId="2" fillId="0" borderId="3" xfId="0" applyFont="1" applyBorder="1" applyAlignment="1"/>
    <xf numFmtId="0" fontId="2" fillId="0" borderId="0" xfId="0" applyFont="1" applyAlignment="1"/>
    <xf numFmtId="0" fontId="0" fillId="0" borderId="7" xfId="0" applyFont="1" applyBorder="1" applyAlignment="1"/>
    <xf numFmtId="0" fontId="0" fillId="0" borderId="8" xfId="0" applyFont="1" applyBorder="1" applyAlignment="1"/>
    <xf numFmtId="0" fontId="0" fillId="0" borderId="9" xfId="0" applyFont="1" applyBorder="1" applyAlignment="1"/>
    <xf numFmtId="0" fontId="0" fillId="0" borderId="1" xfId="0" applyNumberFormat="1" applyFont="1" applyBorder="1" applyAlignment="1"/>
    <xf numFmtId="0" fontId="0" fillId="0" borderId="9" xfId="0" applyNumberFormat="1" applyFont="1" applyBorder="1" applyAlignment="1"/>
    <xf numFmtId="0" fontId="0" fillId="0" borderId="2" xfId="0" applyNumberFormat="1" applyFont="1" applyBorder="1" applyAlignment="1"/>
    <xf numFmtId="0" fontId="0" fillId="0" borderId="10" xfId="0" applyNumberFormat="1" applyFont="1" applyBorder="1" applyAlignment="1"/>
    <xf numFmtId="0" fontId="0" fillId="0" borderId="6" xfId="0" applyNumberFormat="1" applyFont="1" applyBorder="1" applyAlignment="1"/>
    <xf numFmtId="0" fontId="0" fillId="0" borderId="11" xfId="0" applyNumberFormat="1" applyFont="1" applyBorder="1" applyAlignment="1"/>
    <xf numFmtId="9" fontId="0" fillId="0" borderId="0" xfId="1" applyFont="1" applyAlignment="1"/>
    <xf numFmtId="0" fontId="0" fillId="0" borderId="0" xfId="0" applyFont="1" applyAlignment="1"/>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49" fontId="2" fillId="0" borderId="0" xfId="0" applyNumberFormat="1" applyFont="1" applyAlignment="1"/>
  </cellXfs>
  <cellStyles count="2">
    <cellStyle name="Normal" xfId="0" builtinId="0"/>
    <cellStyle name="Percent" xfId="1" builtinId="5"/>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2" defaultPivotStyle="PivotStyleLight16">
    <tableStyle name="Form Responses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Çalışan</a:t>
            </a:r>
            <a:r>
              <a:rPr lang="en-US" baseline="0"/>
              <a:t> ANA FAALİYET ALANI</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a:outerShdw blurRad="63500" sx="102000" sy="102000" algn="ctr" rotWithShape="0">
                <a:prstClr val="black">
                  <a:alpha val="20000"/>
                </a:prstClr>
              </a:outerShdw>
            </a:effectLst>
          </c:spPr>
          <c:invertIfNegative val="0"/>
          <c:dPt>
            <c:idx val="0"/>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2AF0-4746-BDA0-D8E708343A8A}"/>
              </c:ext>
            </c:extLst>
          </c:dPt>
          <c:dPt>
            <c:idx val="1"/>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AF0-4746-BDA0-D8E708343A8A}"/>
              </c:ext>
            </c:extLst>
          </c:dPt>
          <c:dPt>
            <c:idx val="2"/>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2AF0-4746-BDA0-D8E708343A8A}"/>
              </c:ext>
            </c:extLst>
          </c:dPt>
          <c:dPt>
            <c:idx val="3"/>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AF0-4746-BDA0-D8E708343A8A}"/>
              </c:ext>
            </c:extLst>
          </c:dPt>
          <c:dPt>
            <c:idx val="4"/>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2AF0-4746-BDA0-D8E708343A8A}"/>
              </c:ext>
            </c:extLst>
          </c:dPt>
          <c:dPt>
            <c:idx val="5"/>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AF0-4746-BDA0-D8E708343A8A}"/>
              </c:ext>
            </c:extLst>
          </c:dPt>
          <c:dPt>
            <c:idx val="6"/>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2AF0-4746-BDA0-D8E708343A8A}"/>
              </c:ext>
            </c:extLst>
          </c:dPt>
          <c:dPt>
            <c:idx val="7"/>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2AF0-4746-BDA0-D8E708343A8A}"/>
              </c:ext>
            </c:extLst>
          </c:dPt>
          <c:dPt>
            <c:idx val="8"/>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2AF0-4746-BDA0-D8E708343A8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grafikler!$A$98:$A$106</c:f>
              <c:strCache>
                <c:ptCount val="9"/>
                <c:pt idx="0">
                  <c:v>Araştırma ve Geliştirme Faaliyetleri</c:v>
                </c:pt>
                <c:pt idx="1">
                  <c:v>Denetim, Test ve Belgelendirme</c:v>
                </c:pt>
                <c:pt idx="2">
                  <c:v>Güneş Isıl Sistem Hizmetler</c:v>
                </c:pt>
                <c:pt idx="3">
                  <c:v>Güneş Santrali Hizmet Sağlayıcısı (temizlik, güvenlik, vb)</c:v>
                </c:pt>
                <c:pt idx="4">
                  <c:v>Güneş Santrali Sistem Bileşeni Üretimi (evirici, konstrüksiyon, kablolama, vb.)</c:v>
                </c:pt>
                <c:pt idx="5">
                  <c:v>Hücre ve Panel Üretimi</c:v>
                </c:pt>
                <c:pt idx="6">
                  <c:v>Kurulum, Taahhüt, İnşaat, İşletme, Bakım ve Onarım</c:v>
                </c:pt>
                <c:pt idx="7">
                  <c:v>Mühendislik ve Teknik Müşavirlik</c:v>
                </c:pt>
                <c:pt idx="8">
                  <c:v>Proje Geliştirme ve Danışmanlık</c:v>
                </c:pt>
              </c:strCache>
            </c:strRef>
          </c:cat>
          <c:val>
            <c:numRef>
              <c:f>grafikler!$C$98:$C$106</c:f>
              <c:numCache>
                <c:formatCode>0%</c:formatCode>
                <c:ptCount val="9"/>
                <c:pt idx="0">
                  <c:v>0.11363636363636363</c:v>
                </c:pt>
                <c:pt idx="1">
                  <c:v>4.5454545454545456E-2</c:v>
                </c:pt>
                <c:pt idx="2">
                  <c:v>2.2727272727272728E-2</c:v>
                </c:pt>
                <c:pt idx="3">
                  <c:v>4.5454545454545456E-2</c:v>
                </c:pt>
                <c:pt idx="4">
                  <c:v>2.2727272727272728E-2</c:v>
                </c:pt>
                <c:pt idx="5">
                  <c:v>0.38636363636363635</c:v>
                </c:pt>
                <c:pt idx="6">
                  <c:v>0.25</c:v>
                </c:pt>
                <c:pt idx="7">
                  <c:v>6.8181818181818177E-2</c:v>
                </c:pt>
                <c:pt idx="8">
                  <c:v>4.5454545454545456E-2</c:v>
                </c:pt>
              </c:numCache>
            </c:numRef>
          </c:val>
          <c:extLst>
            <c:ext xmlns:c16="http://schemas.microsoft.com/office/drawing/2014/chart" uri="{C3380CC4-5D6E-409C-BE32-E72D297353CC}">
              <c16:uniqueId val="{00000000-2AF0-4746-BDA0-D8E708343A8A}"/>
            </c:ext>
          </c:extLst>
        </c:ser>
        <c:dLbls>
          <c:showLegendKey val="0"/>
          <c:showVal val="0"/>
          <c:showCatName val="0"/>
          <c:showSerName val="0"/>
          <c:showPercent val="0"/>
          <c:showBubbleSize val="0"/>
        </c:dLbls>
        <c:gapWidth val="100"/>
        <c:axId val="1845846303"/>
        <c:axId val="1845848799"/>
      </c:barChart>
      <c:valAx>
        <c:axId val="184584879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845846303"/>
        <c:crosses val="autoZero"/>
        <c:crossBetween val="between"/>
      </c:valAx>
      <c:catAx>
        <c:axId val="18458463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8487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Fİrma</a:t>
            </a:r>
            <a:r>
              <a:rPr lang="en-US" baseline="0"/>
              <a:t> çalışan Sayısı</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a:outerShdw blurRad="63500" sx="102000" sy="102000" algn="ctr" rotWithShape="0">
                <a:prstClr val="black">
                  <a:alpha val="20000"/>
                </a:prstClr>
              </a:outerShdw>
            </a:effectLst>
          </c:spPr>
          <c:invertIfNegative val="0"/>
          <c:dPt>
            <c:idx val="0"/>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256B-46E0-93FB-E364D90ABB3F}"/>
              </c:ext>
            </c:extLst>
          </c:dPt>
          <c:dPt>
            <c:idx val="1"/>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56B-46E0-93FB-E364D90ABB3F}"/>
              </c:ext>
            </c:extLst>
          </c:dPt>
          <c:dPt>
            <c:idx val="2"/>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56B-46E0-93FB-E364D90ABB3F}"/>
              </c:ext>
            </c:extLst>
          </c:dPt>
          <c:dPt>
            <c:idx val="3"/>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56B-46E0-93FB-E364D90ABB3F}"/>
              </c:ext>
            </c:extLst>
          </c:dPt>
          <c:dPt>
            <c:idx val="4"/>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256B-46E0-93FB-E364D90ABB3F}"/>
              </c:ext>
            </c:extLst>
          </c:dPt>
          <c:dPt>
            <c:idx val="5"/>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256B-46E0-93FB-E364D90ABB3F}"/>
              </c:ext>
            </c:extLst>
          </c:dPt>
          <c:dPt>
            <c:idx val="6"/>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256B-46E0-93FB-E364D90ABB3F}"/>
              </c:ext>
            </c:extLst>
          </c:dPt>
          <c:dPt>
            <c:idx val="7"/>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256B-46E0-93FB-E364D90ABB3F}"/>
              </c:ext>
            </c:extLst>
          </c:dPt>
          <c:dPt>
            <c:idx val="8"/>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256B-46E0-93FB-E364D90ABB3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grafikler!$A$123:$A$128</c:f>
              <c:strCache>
                <c:ptCount val="6"/>
                <c:pt idx="0">
                  <c:v>1 – 9</c:v>
                </c:pt>
                <c:pt idx="1">
                  <c:v>10 – 49</c:v>
                </c:pt>
                <c:pt idx="2">
                  <c:v>150 – 299</c:v>
                </c:pt>
                <c:pt idx="3">
                  <c:v>300 – 499</c:v>
                </c:pt>
                <c:pt idx="4">
                  <c:v>50 – 149</c:v>
                </c:pt>
                <c:pt idx="5">
                  <c:v>500 ve üzeri</c:v>
                </c:pt>
              </c:strCache>
            </c:strRef>
          </c:cat>
          <c:val>
            <c:numRef>
              <c:f>grafikler!$C$123:$C$128</c:f>
              <c:numCache>
                <c:formatCode>0%</c:formatCode>
                <c:ptCount val="6"/>
                <c:pt idx="0">
                  <c:v>0.27272727272727271</c:v>
                </c:pt>
                <c:pt idx="1">
                  <c:v>0.13636363636363635</c:v>
                </c:pt>
                <c:pt idx="2">
                  <c:v>9.0909090909090912E-2</c:v>
                </c:pt>
                <c:pt idx="3">
                  <c:v>6.8181818181818177E-2</c:v>
                </c:pt>
                <c:pt idx="4">
                  <c:v>9.0909090909090912E-2</c:v>
                </c:pt>
                <c:pt idx="5">
                  <c:v>0.34090909090909088</c:v>
                </c:pt>
              </c:numCache>
            </c:numRef>
          </c:val>
          <c:extLst>
            <c:ext xmlns:c16="http://schemas.microsoft.com/office/drawing/2014/chart" uri="{C3380CC4-5D6E-409C-BE32-E72D297353CC}">
              <c16:uniqueId val="{00000012-256B-46E0-93FB-E364D90ABB3F}"/>
            </c:ext>
          </c:extLst>
        </c:ser>
        <c:dLbls>
          <c:showLegendKey val="0"/>
          <c:showVal val="0"/>
          <c:showCatName val="0"/>
          <c:showSerName val="0"/>
          <c:showPercent val="0"/>
          <c:showBubbleSize val="0"/>
        </c:dLbls>
        <c:gapWidth val="100"/>
        <c:axId val="2108822447"/>
        <c:axId val="2108812463"/>
      </c:barChart>
      <c:valAx>
        <c:axId val="21088124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822447"/>
        <c:crosses val="autoZero"/>
        <c:crossBetween val="between"/>
      </c:valAx>
      <c:catAx>
        <c:axId val="21088224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812463"/>
        <c:crosses val="autoZero"/>
        <c:auto val="1"/>
        <c:lblAlgn val="ctr"/>
        <c:lblOffset val="100"/>
        <c:noMultiLvlLbl val="0"/>
      </c:catAx>
      <c:spPr>
        <a:noFill/>
        <a:ln>
          <a:noFill/>
        </a:ln>
        <a:effectLst/>
      </c:spPr>
    </c:plotArea>
    <c:legend>
      <c:legendPos val="r"/>
      <c:layout>
        <c:manualLayout>
          <c:xMode val="edge"/>
          <c:yMode val="edge"/>
          <c:x val="0.78607647404730141"/>
          <c:y val="0.11077386027383519"/>
          <c:w val="0.13253001161740027"/>
          <c:h val="0.4113493813513627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İşverenİN</a:t>
            </a:r>
            <a:r>
              <a:rPr lang="en-US" baseline="0"/>
              <a:t> EĞİTİM DESTEĞİ</a:t>
            </a:r>
            <a:endParaRPr lang="en-US"/>
          </a:p>
        </c:rich>
      </c:tx>
      <c:layout>
        <c:manualLayout>
          <c:xMode val="edge"/>
          <c:yMode val="edge"/>
          <c:x val="0.23885534642022355"/>
          <c:y val="2.3121335413922434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CB33-43E6-A466-295462B6EE54}"/>
              </c:ext>
            </c:extLst>
          </c:dPt>
          <c:dPt>
            <c:idx val="1"/>
            <c:bubble3D val="0"/>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CB33-43E6-A466-295462B6EE54}"/>
              </c:ext>
            </c:extLst>
          </c:dPt>
          <c:dPt>
            <c:idx val="2"/>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CB33-43E6-A466-295462B6EE54}"/>
              </c:ext>
            </c:extLst>
          </c:dPt>
          <c:dPt>
            <c:idx val="3"/>
            <c:bubble3D val="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CB33-43E6-A466-295462B6EE54}"/>
              </c:ext>
            </c:extLst>
          </c:dPt>
          <c:dPt>
            <c:idx val="4"/>
            <c:bubble3D val="0"/>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CB33-43E6-A466-295462B6EE54}"/>
              </c:ext>
            </c:extLst>
          </c:dPt>
          <c:dPt>
            <c:idx val="5"/>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CB33-43E6-A466-295462B6EE54}"/>
              </c:ext>
            </c:extLst>
          </c:dPt>
          <c:dPt>
            <c:idx val="6"/>
            <c:bubble3D val="0"/>
            <c:spPr>
              <a:solidFill>
                <a:schemeClr val="accent1">
                  <a:tint val="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CB33-43E6-A466-295462B6EE54}"/>
              </c:ext>
            </c:extLst>
          </c:dPt>
          <c:dPt>
            <c:idx val="7"/>
            <c:bubble3D val="0"/>
            <c:spPr>
              <a:solidFill>
                <a:schemeClr val="accent1">
                  <a:tint val="8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CB33-43E6-A466-295462B6EE54}"/>
              </c:ext>
            </c:extLst>
          </c:dPt>
          <c:dPt>
            <c:idx val="8"/>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CB33-43E6-A466-295462B6EE54}"/>
              </c:ext>
            </c:extLst>
          </c:dPt>
          <c:dLbls>
            <c:dLbl>
              <c:idx val="0"/>
              <c:layout>
                <c:manualLayout>
                  <c:x val="-0.30883536970394376"/>
                  <c:y val="4.405099733057076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B33-43E6-A466-295462B6EE54}"/>
                </c:ext>
              </c:extLst>
            </c:dLbl>
            <c:dLbl>
              <c:idx val="1"/>
              <c:spPr>
                <a:noFill/>
                <a:ln>
                  <a:noFill/>
                </a:ln>
                <a:effectLst/>
              </c:spPr>
              <c:txPr>
                <a:bodyPr rot="0" spcFirstLastPara="1" vertOverflow="ellipsis" vert="horz" wrap="square" lIns="38100" tIns="19050" rIns="38100" bIns="19050" anchor="ctr" anchorCtr="0">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CB33-43E6-A466-295462B6EE5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CB33-43E6-A466-295462B6EE5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CB33-43E6-A466-295462B6EE54}"/>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CB33-43E6-A466-295462B6EE54}"/>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CB33-43E6-A466-295462B6EE54}"/>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CB33-43E6-A466-295462B6EE54}"/>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F-CB33-43E6-A466-295462B6EE54}"/>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CB33-43E6-A466-295462B6EE5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grafikler!$A$164:$A$168</c:f>
              <c:strCache>
                <c:ptCount val="5"/>
                <c:pt idx="0">
                  <c:v>Kesinlikle katılmıyorum</c:v>
                </c:pt>
                <c:pt idx="1">
                  <c:v>Katılmıyorum</c:v>
                </c:pt>
                <c:pt idx="2">
                  <c:v>Kararsız / Tarafsız</c:v>
                </c:pt>
                <c:pt idx="3">
                  <c:v>Katılıyorum</c:v>
                </c:pt>
                <c:pt idx="4">
                  <c:v>Kesinlikle katılıyorum</c:v>
                </c:pt>
              </c:strCache>
            </c:strRef>
          </c:cat>
          <c:val>
            <c:numRef>
              <c:f>grafikler!$B$164:$B$168</c:f>
              <c:numCache>
                <c:formatCode>General</c:formatCode>
                <c:ptCount val="5"/>
                <c:pt idx="0">
                  <c:v>0</c:v>
                </c:pt>
                <c:pt idx="1">
                  <c:v>4</c:v>
                </c:pt>
                <c:pt idx="2">
                  <c:v>7</c:v>
                </c:pt>
                <c:pt idx="3">
                  <c:v>11</c:v>
                </c:pt>
                <c:pt idx="4">
                  <c:v>22</c:v>
                </c:pt>
              </c:numCache>
            </c:numRef>
          </c:val>
          <c:extLst>
            <c:ext xmlns:c16="http://schemas.microsoft.com/office/drawing/2014/chart" uri="{C3380CC4-5D6E-409C-BE32-E72D297353CC}">
              <c16:uniqueId val="{00000012-CB33-43E6-A466-295462B6EE54}"/>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600" b="1" i="0" u="none" strike="noStrike" cap="all" baseline="0"/>
              <a:t>Adİl Ücretlendİrme Algısı</a:t>
            </a:r>
            <a:endParaRPr lang="en-US"/>
          </a:p>
        </c:rich>
      </c:tx>
      <c:layout>
        <c:manualLayout>
          <c:xMode val="edge"/>
          <c:yMode val="edge"/>
          <c:x val="0.23885534642022355"/>
          <c:y val="2.3121335413922434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C58-47BA-9EE5-A9B9411CC517}"/>
              </c:ext>
            </c:extLst>
          </c:dPt>
          <c:dPt>
            <c:idx val="1"/>
            <c:bubble3D val="0"/>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C58-47BA-9EE5-A9B9411CC517}"/>
              </c:ext>
            </c:extLst>
          </c:dPt>
          <c:dPt>
            <c:idx val="2"/>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C58-47BA-9EE5-A9B9411CC517}"/>
              </c:ext>
            </c:extLst>
          </c:dPt>
          <c:dPt>
            <c:idx val="3"/>
            <c:bubble3D val="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3C58-47BA-9EE5-A9B9411CC517}"/>
              </c:ext>
            </c:extLst>
          </c:dPt>
          <c:dPt>
            <c:idx val="4"/>
            <c:bubble3D val="0"/>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3C58-47BA-9EE5-A9B9411CC517}"/>
              </c:ext>
            </c:extLst>
          </c:dPt>
          <c:dPt>
            <c:idx val="5"/>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3C58-47BA-9EE5-A9B9411CC517}"/>
              </c:ext>
            </c:extLst>
          </c:dPt>
          <c:dPt>
            <c:idx val="6"/>
            <c:bubble3D val="0"/>
            <c:spPr>
              <a:solidFill>
                <a:schemeClr val="accent1">
                  <a:tint val="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3C58-47BA-9EE5-A9B9411CC517}"/>
              </c:ext>
            </c:extLst>
          </c:dPt>
          <c:dPt>
            <c:idx val="7"/>
            <c:bubble3D val="0"/>
            <c:spPr>
              <a:solidFill>
                <a:schemeClr val="accent1">
                  <a:tint val="8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3C58-47BA-9EE5-A9B9411CC517}"/>
              </c:ext>
            </c:extLst>
          </c:dPt>
          <c:dPt>
            <c:idx val="8"/>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3C58-47BA-9EE5-A9B9411CC51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1-3C58-47BA-9EE5-A9B9411CC517}"/>
                </c:ext>
              </c:extLst>
            </c:dLbl>
            <c:dLbl>
              <c:idx val="1"/>
              <c:spPr>
                <a:noFill/>
                <a:ln>
                  <a:noFill/>
                </a:ln>
                <a:effectLst/>
              </c:spPr>
              <c:txPr>
                <a:bodyPr rot="0" spcFirstLastPara="1" vertOverflow="ellipsis" vert="horz" wrap="square" lIns="38100" tIns="19050" rIns="38100" bIns="19050" anchor="ctr" anchorCtr="0">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3C58-47BA-9EE5-A9B9411CC51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3C58-47BA-9EE5-A9B9411CC51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3C58-47BA-9EE5-A9B9411CC517}"/>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3C58-47BA-9EE5-A9B9411CC517}"/>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3C58-47BA-9EE5-A9B9411CC517}"/>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3C58-47BA-9EE5-A9B9411CC517}"/>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F-3C58-47BA-9EE5-A9B9411CC517}"/>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3C58-47BA-9EE5-A9B9411CC51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grafikler!$A$189:$A$193</c:f>
              <c:strCache>
                <c:ptCount val="5"/>
                <c:pt idx="0">
                  <c:v>Kesinlikle katılmıyorum</c:v>
                </c:pt>
                <c:pt idx="1">
                  <c:v>Katılmıyorum</c:v>
                </c:pt>
                <c:pt idx="2">
                  <c:v>Kararsız / Tarafsız</c:v>
                </c:pt>
                <c:pt idx="3">
                  <c:v>Katılıyorum</c:v>
                </c:pt>
                <c:pt idx="4">
                  <c:v>Kesinlikle katılıyorum</c:v>
                </c:pt>
              </c:strCache>
            </c:strRef>
          </c:cat>
          <c:val>
            <c:numRef>
              <c:f>grafikler!$B$189:$B$193</c:f>
              <c:numCache>
                <c:formatCode>General</c:formatCode>
                <c:ptCount val="5"/>
                <c:pt idx="0">
                  <c:v>7</c:v>
                </c:pt>
                <c:pt idx="1">
                  <c:v>8</c:v>
                </c:pt>
                <c:pt idx="2">
                  <c:v>11</c:v>
                </c:pt>
                <c:pt idx="3">
                  <c:v>10</c:v>
                </c:pt>
                <c:pt idx="4">
                  <c:v>8</c:v>
                </c:pt>
              </c:numCache>
            </c:numRef>
          </c:val>
          <c:extLst>
            <c:ext xmlns:c16="http://schemas.microsoft.com/office/drawing/2014/chart" uri="{C3380CC4-5D6E-409C-BE32-E72D297353CC}">
              <c16:uniqueId val="{00000012-3C58-47BA-9EE5-A9B9411CC517}"/>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İŞ MEVZUATI VE HAKLARA UYUM</a:t>
            </a:r>
          </a:p>
        </c:rich>
      </c:tx>
      <c:layout>
        <c:manualLayout>
          <c:xMode val="edge"/>
          <c:yMode val="edge"/>
          <c:x val="0.23885534642022355"/>
          <c:y val="2.3121335413922434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9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51C-496A-8F6F-F278ED0B3993}"/>
              </c:ext>
            </c:extLst>
          </c:dPt>
          <c:dPt>
            <c:idx val="1"/>
            <c:bubble3D val="0"/>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51C-496A-8F6F-F278ED0B3993}"/>
              </c:ext>
            </c:extLst>
          </c:dPt>
          <c:dPt>
            <c:idx val="2"/>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51C-496A-8F6F-F278ED0B3993}"/>
              </c:ext>
            </c:extLst>
          </c:dPt>
          <c:dPt>
            <c:idx val="3"/>
            <c:bubble3D val="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851C-496A-8F6F-F278ED0B3993}"/>
              </c:ext>
            </c:extLst>
          </c:dPt>
          <c:dPt>
            <c:idx val="4"/>
            <c:bubble3D val="0"/>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851C-496A-8F6F-F278ED0B3993}"/>
              </c:ext>
            </c:extLst>
          </c:dPt>
          <c:dPt>
            <c:idx val="5"/>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851C-496A-8F6F-F278ED0B3993}"/>
              </c:ext>
            </c:extLst>
          </c:dPt>
          <c:dPt>
            <c:idx val="6"/>
            <c:bubble3D val="0"/>
            <c:spPr>
              <a:solidFill>
                <a:schemeClr val="accent1">
                  <a:tint val="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851C-496A-8F6F-F278ED0B3993}"/>
              </c:ext>
            </c:extLst>
          </c:dPt>
          <c:dPt>
            <c:idx val="7"/>
            <c:bubble3D val="0"/>
            <c:spPr>
              <a:solidFill>
                <a:schemeClr val="accent1">
                  <a:tint val="8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851C-496A-8F6F-F278ED0B3993}"/>
              </c:ext>
            </c:extLst>
          </c:dPt>
          <c:dPt>
            <c:idx val="8"/>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851C-496A-8F6F-F278ED0B3993}"/>
              </c:ext>
            </c:extLst>
          </c:dPt>
          <c:dLbls>
            <c:dLbl>
              <c:idx val="0"/>
              <c:layout>
                <c:manualLayout>
                  <c:x val="-0.47601477275857002"/>
                  <c:y val="5.28862851743219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51C-496A-8F6F-F278ED0B3993}"/>
                </c:ext>
              </c:extLst>
            </c:dLbl>
            <c:dLbl>
              <c:idx val="1"/>
              <c:spPr>
                <a:noFill/>
                <a:ln>
                  <a:noFill/>
                </a:ln>
                <a:effectLst/>
              </c:spPr>
              <c:txPr>
                <a:bodyPr rot="0" spcFirstLastPara="1" vertOverflow="ellipsis" vert="horz" wrap="square" lIns="38100" tIns="19050" rIns="38100" bIns="19050" anchor="ctr" anchorCtr="0">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851C-496A-8F6F-F278ED0B399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851C-496A-8F6F-F278ED0B399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851C-496A-8F6F-F278ED0B3993}"/>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851C-496A-8F6F-F278ED0B3993}"/>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851C-496A-8F6F-F278ED0B3993}"/>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851C-496A-8F6F-F278ED0B3993}"/>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F-851C-496A-8F6F-F278ED0B3993}"/>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851C-496A-8F6F-F278ED0B399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grafikler!$A$211:$A$215</c:f>
              <c:strCache>
                <c:ptCount val="5"/>
                <c:pt idx="0">
                  <c:v>Kesinlikle katılmıyorum</c:v>
                </c:pt>
                <c:pt idx="1">
                  <c:v>Katılmıyorum</c:v>
                </c:pt>
                <c:pt idx="2">
                  <c:v>Kararsız / Tarafsız</c:v>
                </c:pt>
                <c:pt idx="3">
                  <c:v>Katılıyorum</c:v>
                </c:pt>
                <c:pt idx="4">
                  <c:v>Kesinlikle katılıyorum</c:v>
                </c:pt>
              </c:strCache>
            </c:strRef>
          </c:cat>
          <c:val>
            <c:numRef>
              <c:f>grafikler!$B$211:$B$215</c:f>
              <c:numCache>
                <c:formatCode>General</c:formatCode>
                <c:ptCount val="5"/>
                <c:pt idx="0">
                  <c:v>3</c:v>
                </c:pt>
                <c:pt idx="1">
                  <c:v>2</c:v>
                </c:pt>
                <c:pt idx="2">
                  <c:v>7</c:v>
                </c:pt>
                <c:pt idx="3">
                  <c:v>6</c:v>
                </c:pt>
                <c:pt idx="4">
                  <c:v>26</c:v>
                </c:pt>
              </c:numCache>
            </c:numRef>
          </c:val>
          <c:extLst>
            <c:ext xmlns:c16="http://schemas.microsoft.com/office/drawing/2014/chart" uri="{C3380CC4-5D6E-409C-BE32-E72D297353CC}">
              <c16:uniqueId val="{00000012-851C-496A-8F6F-F278ED0B3993}"/>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ŞEHİR DIŞI GÖREV İMKÂNLARI</a:t>
            </a:r>
          </a:p>
        </c:rich>
      </c:tx>
      <c:layout>
        <c:manualLayout>
          <c:xMode val="edge"/>
          <c:yMode val="edge"/>
          <c:x val="0.18779279298295978"/>
          <c:y val="2.3121250686781367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9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91C-4ACD-8446-14A4E19EB801}"/>
              </c:ext>
            </c:extLst>
          </c:dPt>
          <c:dPt>
            <c:idx val="1"/>
            <c:bubble3D val="0"/>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91C-4ACD-8446-14A4E19EB801}"/>
              </c:ext>
            </c:extLst>
          </c:dPt>
          <c:dPt>
            <c:idx val="2"/>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691C-4ACD-8446-14A4E19EB801}"/>
              </c:ext>
            </c:extLst>
          </c:dPt>
          <c:dPt>
            <c:idx val="3"/>
            <c:bubble3D val="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691C-4ACD-8446-14A4E19EB801}"/>
              </c:ext>
            </c:extLst>
          </c:dPt>
          <c:dPt>
            <c:idx val="4"/>
            <c:bubble3D val="0"/>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691C-4ACD-8446-14A4E19EB801}"/>
              </c:ext>
            </c:extLst>
          </c:dPt>
          <c:dPt>
            <c:idx val="5"/>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691C-4ACD-8446-14A4E19EB801}"/>
              </c:ext>
            </c:extLst>
          </c:dPt>
          <c:dPt>
            <c:idx val="6"/>
            <c:bubble3D val="0"/>
            <c:spPr>
              <a:solidFill>
                <a:schemeClr val="accent1">
                  <a:tint val="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691C-4ACD-8446-14A4E19EB801}"/>
              </c:ext>
            </c:extLst>
          </c:dPt>
          <c:dPt>
            <c:idx val="7"/>
            <c:bubble3D val="0"/>
            <c:spPr>
              <a:solidFill>
                <a:schemeClr val="accent1">
                  <a:tint val="8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691C-4ACD-8446-14A4E19EB801}"/>
              </c:ext>
            </c:extLst>
          </c:dPt>
          <c:dPt>
            <c:idx val="8"/>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691C-4ACD-8446-14A4E19EB80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1-691C-4ACD-8446-14A4E19EB801}"/>
                </c:ext>
              </c:extLst>
            </c:dLbl>
            <c:dLbl>
              <c:idx val="1"/>
              <c:spPr>
                <a:noFill/>
                <a:ln>
                  <a:noFill/>
                </a:ln>
                <a:effectLst/>
              </c:spPr>
              <c:txPr>
                <a:bodyPr rot="0" spcFirstLastPara="1" vertOverflow="ellipsis" vert="horz" wrap="square" lIns="38100" tIns="19050" rIns="38100" bIns="19050" anchor="ctr" anchorCtr="0">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691C-4ACD-8446-14A4E19EB801}"/>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691C-4ACD-8446-14A4E19EB801}"/>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691C-4ACD-8446-14A4E19EB801}"/>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691C-4ACD-8446-14A4E19EB801}"/>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691C-4ACD-8446-14A4E19EB801}"/>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691C-4ACD-8446-14A4E19EB801}"/>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F-691C-4ACD-8446-14A4E19EB801}"/>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691C-4ACD-8446-14A4E19EB80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grafikler!$A$232:$A$236</c:f>
              <c:strCache>
                <c:ptCount val="5"/>
                <c:pt idx="0">
                  <c:v>Kesinlikle katılmıyorum</c:v>
                </c:pt>
                <c:pt idx="1">
                  <c:v>Katılmıyorum</c:v>
                </c:pt>
                <c:pt idx="2">
                  <c:v>Kararsız / Tarafsız</c:v>
                </c:pt>
                <c:pt idx="3">
                  <c:v>Katılıyorum</c:v>
                </c:pt>
                <c:pt idx="4">
                  <c:v>Kesinlikle katılıyorum</c:v>
                </c:pt>
              </c:strCache>
            </c:strRef>
          </c:cat>
          <c:val>
            <c:numRef>
              <c:f>grafikler!$B$232:$B$236</c:f>
              <c:numCache>
                <c:formatCode>General</c:formatCode>
                <c:ptCount val="5"/>
                <c:pt idx="0">
                  <c:v>2</c:v>
                </c:pt>
                <c:pt idx="1">
                  <c:v>2</c:v>
                </c:pt>
                <c:pt idx="2">
                  <c:v>11</c:v>
                </c:pt>
                <c:pt idx="3">
                  <c:v>12</c:v>
                </c:pt>
                <c:pt idx="4">
                  <c:v>17</c:v>
                </c:pt>
              </c:numCache>
            </c:numRef>
          </c:val>
          <c:extLst>
            <c:ext xmlns:c16="http://schemas.microsoft.com/office/drawing/2014/chart" uri="{C3380CC4-5D6E-409C-BE32-E72D297353CC}">
              <c16:uniqueId val="{00000012-691C-4ACD-8446-14A4E19EB801}"/>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İŞ YAŞAM DENGESİ</a:t>
            </a:r>
            <a:r>
              <a:rPr lang="en-US" baseline="0"/>
              <a:t> ve MEVSİMSELLİK</a:t>
            </a:r>
            <a:endParaRPr lang="en-US"/>
          </a:p>
        </c:rich>
      </c:tx>
      <c:layout>
        <c:manualLayout>
          <c:xMode val="edge"/>
          <c:yMode val="edge"/>
          <c:x val="0.1520490055768752"/>
          <c:y val="2.3121250686781367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9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633-4D25-A181-84B6AC2EEFA7}"/>
              </c:ext>
            </c:extLst>
          </c:dPt>
          <c:dPt>
            <c:idx val="1"/>
            <c:bubble3D val="0"/>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633-4D25-A181-84B6AC2EEFA7}"/>
              </c:ext>
            </c:extLst>
          </c:dPt>
          <c:dPt>
            <c:idx val="2"/>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633-4D25-A181-84B6AC2EEFA7}"/>
              </c:ext>
            </c:extLst>
          </c:dPt>
          <c:dPt>
            <c:idx val="3"/>
            <c:bubble3D val="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633-4D25-A181-84B6AC2EEFA7}"/>
              </c:ext>
            </c:extLst>
          </c:dPt>
          <c:dPt>
            <c:idx val="4"/>
            <c:bubble3D val="0"/>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633-4D25-A181-84B6AC2EEFA7}"/>
              </c:ext>
            </c:extLst>
          </c:dPt>
          <c:dPt>
            <c:idx val="5"/>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5633-4D25-A181-84B6AC2EEFA7}"/>
              </c:ext>
            </c:extLst>
          </c:dPt>
          <c:dPt>
            <c:idx val="6"/>
            <c:bubble3D val="0"/>
            <c:spPr>
              <a:solidFill>
                <a:schemeClr val="accent1">
                  <a:tint val="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5633-4D25-A181-84B6AC2EEFA7}"/>
              </c:ext>
            </c:extLst>
          </c:dPt>
          <c:dPt>
            <c:idx val="7"/>
            <c:bubble3D val="0"/>
            <c:spPr>
              <a:solidFill>
                <a:schemeClr val="accent1">
                  <a:tint val="8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5633-4D25-A181-84B6AC2EEFA7}"/>
              </c:ext>
            </c:extLst>
          </c:dPt>
          <c:dPt>
            <c:idx val="8"/>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5633-4D25-A181-84B6AC2EEFA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1-5633-4D25-A181-84B6AC2EEFA7}"/>
                </c:ext>
              </c:extLst>
            </c:dLbl>
            <c:dLbl>
              <c:idx val="1"/>
              <c:spPr>
                <a:noFill/>
                <a:ln>
                  <a:noFill/>
                </a:ln>
                <a:effectLst/>
              </c:spPr>
              <c:txPr>
                <a:bodyPr rot="0" spcFirstLastPara="1" vertOverflow="ellipsis" vert="horz" wrap="square" lIns="38100" tIns="19050" rIns="38100" bIns="19050" anchor="ctr" anchorCtr="0">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5633-4D25-A181-84B6AC2EEFA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5633-4D25-A181-84B6AC2EEFA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5633-4D25-A181-84B6AC2EEFA7}"/>
                </c:ext>
              </c:extLst>
            </c:dLbl>
            <c:dLbl>
              <c:idx val="4"/>
              <c:layout>
                <c:manualLayout>
                  <c:x val="-4.3337432409965564E-2"/>
                  <c:y val="5.310487365243934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633-4D25-A181-84B6AC2EEFA7}"/>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5633-4D25-A181-84B6AC2EEFA7}"/>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5633-4D25-A181-84B6AC2EEFA7}"/>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F-5633-4D25-A181-84B6AC2EEFA7}"/>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5633-4D25-A181-84B6AC2EEFA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grafikler!$A$253:$A$257</c:f>
              <c:strCache>
                <c:ptCount val="5"/>
                <c:pt idx="0">
                  <c:v>Kesinlikle katılmıyorum</c:v>
                </c:pt>
                <c:pt idx="1">
                  <c:v>Katılmıyorum</c:v>
                </c:pt>
                <c:pt idx="2">
                  <c:v>Kararsız / Tarafsız</c:v>
                </c:pt>
                <c:pt idx="3">
                  <c:v>Katılıyorum</c:v>
                </c:pt>
                <c:pt idx="4">
                  <c:v>Kesinlikle katılıyorum</c:v>
                </c:pt>
              </c:strCache>
            </c:strRef>
          </c:cat>
          <c:val>
            <c:numRef>
              <c:f>grafikler!$B$253:$B$257</c:f>
              <c:numCache>
                <c:formatCode>General</c:formatCode>
                <c:ptCount val="5"/>
                <c:pt idx="0">
                  <c:v>10</c:v>
                </c:pt>
                <c:pt idx="1">
                  <c:v>9</c:v>
                </c:pt>
                <c:pt idx="2">
                  <c:v>14</c:v>
                </c:pt>
                <c:pt idx="3">
                  <c:v>9</c:v>
                </c:pt>
                <c:pt idx="4">
                  <c:v>2</c:v>
                </c:pt>
              </c:numCache>
            </c:numRef>
          </c:val>
          <c:extLst>
            <c:ext xmlns:c16="http://schemas.microsoft.com/office/drawing/2014/chart" uri="{C3380CC4-5D6E-409C-BE32-E72D297353CC}">
              <c16:uniqueId val="{00000012-5633-4D25-A181-84B6AC2EEFA7}"/>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ŞEHİR DIŞI</a:t>
            </a:r>
            <a:r>
              <a:rPr lang="en-US" baseline="0"/>
              <a:t> ÇALIŞMA MOTİVASYONU</a:t>
            </a:r>
            <a:endParaRPr lang="en-US"/>
          </a:p>
        </c:rich>
      </c:tx>
      <c:layout>
        <c:manualLayout>
          <c:xMode val="edge"/>
          <c:yMode val="edge"/>
          <c:x val="0.15809091597423727"/>
          <c:y val="1.9367637531270538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43"/>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1014-4A7E-8729-C134C452815C}"/>
              </c:ext>
            </c:extLst>
          </c:dPt>
          <c:dPt>
            <c:idx val="1"/>
            <c:bubble3D val="0"/>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1014-4A7E-8729-C134C452815C}"/>
              </c:ext>
            </c:extLst>
          </c:dPt>
          <c:dPt>
            <c:idx val="2"/>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1014-4A7E-8729-C134C452815C}"/>
              </c:ext>
            </c:extLst>
          </c:dPt>
          <c:dPt>
            <c:idx val="3"/>
            <c:bubble3D val="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1014-4A7E-8729-C134C452815C}"/>
              </c:ext>
            </c:extLst>
          </c:dPt>
          <c:dPt>
            <c:idx val="4"/>
            <c:bubble3D val="0"/>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1014-4A7E-8729-C134C452815C}"/>
              </c:ext>
            </c:extLst>
          </c:dPt>
          <c:dPt>
            <c:idx val="5"/>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1014-4A7E-8729-C134C452815C}"/>
              </c:ext>
            </c:extLst>
          </c:dPt>
          <c:dPt>
            <c:idx val="6"/>
            <c:bubble3D val="0"/>
            <c:spPr>
              <a:solidFill>
                <a:schemeClr val="accent1">
                  <a:tint val="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1014-4A7E-8729-C134C452815C}"/>
              </c:ext>
            </c:extLst>
          </c:dPt>
          <c:dPt>
            <c:idx val="7"/>
            <c:bubble3D val="0"/>
            <c:spPr>
              <a:solidFill>
                <a:schemeClr val="accent1">
                  <a:tint val="8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1014-4A7E-8729-C134C452815C}"/>
              </c:ext>
            </c:extLst>
          </c:dPt>
          <c:dPt>
            <c:idx val="8"/>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1014-4A7E-8729-C134C452815C}"/>
              </c:ext>
            </c:extLst>
          </c:dPt>
          <c:dLbls>
            <c:dLbl>
              <c:idx val="0"/>
              <c:layout>
                <c:manualLayout>
                  <c:x val="4.2924710275293503E-3"/>
                  <c:y val="-6.064446599581044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014-4A7E-8729-C134C452815C}"/>
                </c:ext>
              </c:extLst>
            </c:dLbl>
            <c:dLbl>
              <c:idx val="1"/>
              <c:spPr>
                <a:noFill/>
                <a:ln>
                  <a:noFill/>
                </a:ln>
                <a:effectLst/>
              </c:spPr>
              <c:txPr>
                <a:bodyPr rot="0" spcFirstLastPara="1" vertOverflow="ellipsis" vert="horz" wrap="square" lIns="38100" tIns="19050" rIns="38100" bIns="19050" anchor="ctr" anchorCtr="0">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1014-4A7E-8729-C134C452815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1014-4A7E-8729-C134C452815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1014-4A7E-8729-C134C452815C}"/>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1014-4A7E-8729-C134C452815C}"/>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1014-4A7E-8729-C134C452815C}"/>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1014-4A7E-8729-C134C452815C}"/>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F-1014-4A7E-8729-C134C452815C}"/>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1014-4A7E-8729-C134C452815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grafikler!$A$273:$A$277</c:f>
              <c:strCache>
                <c:ptCount val="5"/>
                <c:pt idx="0">
                  <c:v>Kesinlikle katılmıyorum</c:v>
                </c:pt>
                <c:pt idx="1">
                  <c:v>Katılmıyorum</c:v>
                </c:pt>
                <c:pt idx="2">
                  <c:v>Kararsız / Tarafsız</c:v>
                </c:pt>
                <c:pt idx="3">
                  <c:v>Katılıyorum</c:v>
                </c:pt>
                <c:pt idx="4">
                  <c:v>Kesinlikle katılıyorum</c:v>
                </c:pt>
              </c:strCache>
            </c:strRef>
          </c:cat>
          <c:val>
            <c:numRef>
              <c:f>grafikler!$B$273:$B$277</c:f>
              <c:numCache>
                <c:formatCode>General</c:formatCode>
                <c:ptCount val="5"/>
                <c:pt idx="0">
                  <c:v>3</c:v>
                </c:pt>
                <c:pt idx="1">
                  <c:v>2</c:v>
                </c:pt>
                <c:pt idx="2">
                  <c:v>2</c:v>
                </c:pt>
                <c:pt idx="3">
                  <c:v>12</c:v>
                </c:pt>
                <c:pt idx="4">
                  <c:v>25</c:v>
                </c:pt>
              </c:numCache>
            </c:numRef>
          </c:val>
          <c:extLst>
            <c:ext xmlns:c16="http://schemas.microsoft.com/office/drawing/2014/chart" uri="{C3380CC4-5D6E-409C-BE32-E72D297353CC}">
              <c16:uniqueId val="{00000012-1014-4A7E-8729-C134C452815C}"/>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TAŞERON</a:t>
            </a:r>
            <a:r>
              <a:rPr lang="en-US" baseline="0"/>
              <a:t> FİRMALARDA İŞ SÜREKLİLİĞİ</a:t>
            </a:r>
            <a:endParaRPr lang="en-US"/>
          </a:p>
        </c:rich>
      </c:tx>
      <c:layout>
        <c:manualLayout>
          <c:xMode val="edge"/>
          <c:yMode val="edge"/>
          <c:x val="0.12651772885824333"/>
          <c:y val="2.7070146379655532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130-4212-B8CF-EA4876BAFB6C}"/>
              </c:ext>
            </c:extLst>
          </c:dPt>
          <c:dPt>
            <c:idx val="1"/>
            <c:bubble3D val="0"/>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130-4212-B8CF-EA4876BAFB6C}"/>
              </c:ext>
            </c:extLst>
          </c:dPt>
          <c:dPt>
            <c:idx val="2"/>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6130-4212-B8CF-EA4876BAFB6C}"/>
              </c:ext>
            </c:extLst>
          </c:dPt>
          <c:dPt>
            <c:idx val="3"/>
            <c:bubble3D val="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6130-4212-B8CF-EA4876BAFB6C}"/>
              </c:ext>
            </c:extLst>
          </c:dPt>
          <c:dPt>
            <c:idx val="4"/>
            <c:bubble3D val="0"/>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6130-4212-B8CF-EA4876BAFB6C}"/>
              </c:ext>
            </c:extLst>
          </c:dPt>
          <c:dPt>
            <c:idx val="5"/>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6130-4212-B8CF-EA4876BAFB6C}"/>
              </c:ext>
            </c:extLst>
          </c:dPt>
          <c:dPt>
            <c:idx val="6"/>
            <c:bubble3D val="0"/>
            <c:spPr>
              <a:solidFill>
                <a:schemeClr val="accent1">
                  <a:tint val="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6130-4212-B8CF-EA4876BAFB6C}"/>
              </c:ext>
            </c:extLst>
          </c:dPt>
          <c:dPt>
            <c:idx val="7"/>
            <c:bubble3D val="0"/>
            <c:spPr>
              <a:solidFill>
                <a:schemeClr val="accent1">
                  <a:tint val="8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6130-4212-B8CF-EA4876BAFB6C}"/>
              </c:ext>
            </c:extLst>
          </c:dPt>
          <c:dPt>
            <c:idx val="8"/>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6130-4212-B8CF-EA4876BAFB6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1-6130-4212-B8CF-EA4876BAFB6C}"/>
                </c:ext>
              </c:extLst>
            </c:dLbl>
            <c:dLbl>
              <c:idx val="1"/>
              <c:spPr>
                <a:noFill/>
                <a:ln>
                  <a:noFill/>
                </a:ln>
                <a:effectLst/>
              </c:spPr>
              <c:txPr>
                <a:bodyPr rot="0" spcFirstLastPara="1" vertOverflow="ellipsis" vert="horz" wrap="square" lIns="38100" tIns="19050" rIns="38100" bIns="19050" anchor="ctr" anchorCtr="0">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3-6130-4212-B8CF-EA4876BAFB6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5-6130-4212-B8CF-EA4876BAFB6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7-6130-4212-B8CF-EA4876BAFB6C}"/>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9-6130-4212-B8CF-EA4876BAFB6C}"/>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B-6130-4212-B8CF-EA4876BAFB6C}"/>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D-6130-4212-B8CF-EA4876BAFB6C}"/>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F-6130-4212-B8CF-EA4876BAFB6C}"/>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11-6130-4212-B8CF-EA4876BAFB6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grafikler!$A$295:$A$298</c:f>
              <c:strCache>
                <c:ptCount val="4"/>
                <c:pt idx="0">
                  <c:v>Ana şirketin projelerine bağlı olduğum için iş sürekliliğini riskli buluyorum.</c:v>
                </c:pt>
                <c:pt idx="1">
                  <c:v>Hayır, taşeron olmamın bir önemi yok; işim her zaman hazır.</c:v>
                </c:pt>
                <c:pt idx="2">
                  <c:v>Sadece proje dönemlerinde çalıştığım için bu durumu normal karşılıyorum.</c:v>
                </c:pt>
                <c:pt idx="3">
                  <c:v>Taşeron firmada çalışmıyorum, iş yerinde kadrolu olarak çalışıyorum.</c:v>
                </c:pt>
              </c:strCache>
            </c:strRef>
          </c:cat>
          <c:val>
            <c:numRef>
              <c:f>grafikler!$B$295:$B$298</c:f>
              <c:numCache>
                <c:formatCode>General</c:formatCode>
                <c:ptCount val="4"/>
                <c:pt idx="0">
                  <c:v>2</c:v>
                </c:pt>
                <c:pt idx="1">
                  <c:v>3</c:v>
                </c:pt>
                <c:pt idx="2">
                  <c:v>3</c:v>
                </c:pt>
                <c:pt idx="3">
                  <c:v>36</c:v>
                </c:pt>
              </c:numCache>
            </c:numRef>
          </c:val>
          <c:extLst>
            <c:ext xmlns:c16="http://schemas.microsoft.com/office/drawing/2014/chart" uri="{C3380CC4-5D6E-409C-BE32-E72D297353CC}">
              <c16:uniqueId val="{00000012-6130-4212-B8CF-EA4876BAFB6C}"/>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SEKTÖREL ÜCRET</a:t>
            </a:r>
            <a:r>
              <a:rPr lang="en-US" baseline="0"/>
              <a:t> DÜZEYİ ALGISI</a:t>
            </a:r>
            <a:endParaRPr lang="en-US"/>
          </a:p>
        </c:rich>
      </c:tx>
      <c:layout>
        <c:manualLayout>
          <c:xMode val="edge"/>
          <c:yMode val="edge"/>
          <c:x val="0.18523966531109662"/>
          <c:y val="2.3121250686781367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F42-47AF-9A2C-4D3A00085556}"/>
              </c:ext>
            </c:extLst>
          </c:dPt>
          <c:dPt>
            <c:idx val="1"/>
            <c:bubble3D val="0"/>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F42-47AF-9A2C-4D3A00085556}"/>
              </c:ext>
            </c:extLst>
          </c:dPt>
          <c:dPt>
            <c:idx val="2"/>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F42-47AF-9A2C-4D3A00085556}"/>
              </c:ext>
            </c:extLst>
          </c:dPt>
          <c:dPt>
            <c:idx val="3"/>
            <c:bubble3D val="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2F42-47AF-9A2C-4D3A00085556}"/>
              </c:ext>
            </c:extLst>
          </c:dPt>
          <c:dPt>
            <c:idx val="4"/>
            <c:bubble3D val="0"/>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2F42-47AF-9A2C-4D3A00085556}"/>
              </c:ext>
            </c:extLst>
          </c:dPt>
          <c:dPt>
            <c:idx val="5"/>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2F42-47AF-9A2C-4D3A00085556}"/>
              </c:ext>
            </c:extLst>
          </c:dPt>
          <c:dPt>
            <c:idx val="6"/>
            <c:bubble3D val="0"/>
            <c:spPr>
              <a:solidFill>
                <a:schemeClr val="accent1">
                  <a:tint val="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2F42-47AF-9A2C-4D3A00085556}"/>
              </c:ext>
            </c:extLst>
          </c:dPt>
          <c:dPt>
            <c:idx val="7"/>
            <c:bubble3D val="0"/>
            <c:spPr>
              <a:solidFill>
                <a:schemeClr val="accent1">
                  <a:tint val="8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2F42-47AF-9A2C-4D3A00085556}"/>
              </c:ext>
            </c:extLst>
          </c:dPt>
          <c:dPt>
            <c:idx val="8"/>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2F42-47AF-9A2C-4D3A0008555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1-2F42-47AF-9A2C-4D3A00085556}"/>
                </c:ext>
              </c:extLst>
            </c:dLbl>
            <c:dLbl>
              <c:idx val="1"/>
              <c:spPr>
                <a:noFill/>
                <a:ln>
                  <a:noFill/>
                </a:ln>
                <a:effectLst/>
              </c:spPr>
              <c:txPr>
                <a:bodyPr rot="0" spcFirstLastPara="1" vertOverflow="ellipsis" vert="horz" wrap="square" lIns="38100" tIns="19050" rIns="38100" bIns="19050" anchor="ctr" anchorCtr="0">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3-2F42-47AF-9A2C-4D3A0008555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5-2F42-47AF-9A2C-4D3A0008555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7-2F42-47AF-9A2C-4D3A0008555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9-2F42-47AF-9A2C-4D3A0008555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B-2F42-47AF-9A2C-4D3A0008555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D-2F42-47AF-9A2C-4D3A00085556}"/>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F-2F42-47AF-9A2C-4D3A00085556}"/>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11-2F42-47AF-9A2C-4D3A0008555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grafikler!$A$316:$A$319</c:f>
              <c:strCache>
                <c:ptCount val="4"/>
                <c:pt idx="0">
                  <c:v>Bilgi sahibi değilim</c:v>
                </c:pt>
                <c:pt idx="1">
                  <c:v>Diğer sektörlerden daha düşük.</c:v>
                </c:pt>
                <c:pt idx="2">
                  <c:v>Diğer sektörlerden daha yüksek.</c:v>
                </c:pt>
                <c:pt idx="3">
                  <c:v>Diğer sektörlerle benzer seviyede.</c:v>
                </c:pt>
              </c:strCache>
            </c:strRef>
          </c:cat>
          <c:val>
            <c:numRef>
              <c:f>grafikler!$B$316:$B$319</c:f>
              <c:numCache>
                <c:formatCode>General</c:formatCode>
                <c:ptCount val="4"/>
                <c:pt idx="0">
                  <c:v>5</c:v>
                </c:pt>
                <c:pt idx="1">
                  <c:v>20</c:v>
                </c:pt>
                <c:pt idx="2">
                  <c:v>1</c:v>
                </c:pt>
                <c:pt idx="3">
                  <c:v>18</c:v>
                </c:pt>
              </c:numCache>
            </c:numRef>
          </c:val>
          <c:extLst>
            <c:ext xmlns:c16="http://schemas.microsoft.com/office/drawing/2014/chart" uri="{C3380CC4-5D6E-409C-BE32-E72D297353CC}">
              <c16:uniqueId val="{00000012-2F42-47AF-9A2C-4D3A00085556}"/>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Cİnsİyet</a:t>
            </a:r>
          </a:p>
        </c:rich>
      </c:tx>
      <c:layout>
        <c:manualLayout>
          <c:xMode val="edge"/>
          <c:yMode val="edge"/>
          <c:x val="0.4130035030359181"/>
          <c:y val="1.5648715161375261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9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FB3D-440D-AB46-59D090389AE7}"/>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FB3D-440D-AB46-59D090389AE7}"/>
              </c:ext>
            </c:extLst>
          </c:dPt>
          <c:dPt>
            <c:idx val="2"/>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FB3D-440D-AB46-59D090389AE7}"/>
              </c:ext>
            </c:extLst>
          </c:dPt>
          <c:dPt>
            <c:idx val="3"/>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FB3D-440D-AB46-59D090389AE7}"/>
              </c:ext>
            </c:extLst>
          </c:dPt>
          <c:dPt>
            <c:idx val="4"/>
            <c:bubble3D val="0"/>
            <c:spPr>
              <a:solidFill>
                <a:schemeClr val="accent1">
                  <a:tint val="9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FB3D-440D-AB46-59D090389AE7}"/>
              </c:ext>
            </c:extLst>
          </c:dPt>
          <c:dPt>
            <c:idx val="5"/>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FB3D-440D-AB46-59D090389AE7}"/>
              </c:ext>
            </c:extLst>
          </c:dPt>
          <c:dPt>
            <c:idx val="6"/>
            <c:bubble3D val="0"/>
            <c:spPr>
              <a:solidFill>
                <a:schemeClr val="accent1">
                  <a:tint val="2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FB3D-440D-AB46-59D090389AE7}"/>
              </c:ext>
            </c:extLst>
          </c:dPt>
          <c:dPt>
            <c:idx val="7"/>
            <c:bubble3D val="0"/>
            <c:spPr>
              <a:solidFill>
                <a:schemeClr val="accent1">
                  <a:tint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FB3D-440D-AB46-59D090389AE7}"/>
              </c:ext>
            </c:extLst>
          </c:dPt>
          <c:dPt>
            <c:idx val="8"/>
            <c:bubble3D val="0"/>
            <c:spPr>
              <a:solidFill>
                <a:schemeClr val="accent1">
                  <a:tint val="5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FB3D-440D-AB46-59D090389AE7}"/>
              </c:ext>
            </c:extLst>
          </c:dPt>
          <c:dLbls>
            <c:dLbl>
              <c:idx val="0"/>
              <c:layout>
                <c:manualLayout>
                  <c:x val="-8.4927803914251563E-3"/>
                  <c:y val="-3.0675494584540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B3D-440D-AB46-59D090389AE7}"/>
                </c:ext>
              </c:extLst>
            </c:dLbl>
            <c:dLbl>
              <c:idx val="1"/>
              <c:spPr>
                <a:noFill/>
                <a:ln>
                  <a:noFill/>
                </a:ln>
                <a:effectLst/>
              </c:spPr>
              <c:txPr>
                <a:bodyPr rot="0" spcFirstLastPara="1" vertOverflow="ellipsis" vert="horz" wrap="square" lIns="38100" tIns="19050" rIns="38100" bIns="19050" anchor="ctr" anchorCtr="0">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FB3D-440D-AB46-59D090389AE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FB3D-440D-AB46-59D090389AE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FB3D-440D-AB46-59D090389AE7}"/>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FB3D-440D-AB46-59D090389AE7}"/>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FB3D-440D-AB46-59D090389AE7}"/>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FB3D-440D-AB46-59D090389AE7}"/>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F-FB3D-440D-AB46-59D090389AE7}"/>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FB3D-440D-AB46-59D090389AE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grafikler!$A$23:$A$25</c:f>
              <c:strCache>
                <c:ptCount val="3"/>
                <c:pt idx="0">
                  <c:v>Belirtmek istemiyorum.</c:v>
                </c:pt>
                <c:pt idx="1">
                  <c:v>Erkek</c:v>
                </c:pt>
                <c:pt idx="2">
                  <c:v>Kadın</c:v>
                </c:pt>
              </c:strCache>
            </c:strRef>
          </c:cat>
          <c:val>
            <c:numRef>
              <c:f>grafikler!$B$23:$B$25</c:f>
              <c:numCache>
                <c:formatCode>General</c:formatCode>
                <c:ptCount val="3"/>
                <c:pt idx="0">
                  <c:v>1</c:v>
                </c:pt>
                <c:pt idx="1">
                  <c:v>32</c:v>
                </c:pt>
                <c:pt idx="2">
                  <c:v>11</c:v>
                </c:pt>
              </c:numCache>
            </c:numRef>
          </c:val>
          <c:extLst>
            <c:ext xmlns:c16="http://schemas.microsoft.com/office/drawing/2014/chart" uri="{C3380CC4-5D6E-409C-BE32-E72D297353CC}">
              <c16:uniqueId val="{00000012-FB3D-440D-AB46-59D090389AE7}"/>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Yaş - Cinsiyet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grafikler!$Q$4</c:f>
              <c:strCache>
                <c:ptCount val="1"/>
                <c:pt idx="0">
                  <c:v>Belirtmek istemiyorum.</c:v>
                </c:pt>
              </c:strCache>
            </c:strRef>
          </c:tx>
          <c:spPr>
            <a:solidFill>
              <a:schemeClr val="accent1">
                <a:shade val="65000"/>
              </a:schemeClr>
            </a:solidFill>
            <a:ln>
              <a:noFill/>
            </a:ln>
            <a:effectLst/>
          </c:spPr>
          <c:invertIfNegative val="0"/>
          <c:cat>
            <c:strRef>
              <c:f>grafikler!$R$3:$V$3</c:f>
              <c:strCache>
                <c:ptCount val="5"/>
                <c:pt idx="0">
                  <c:v>18 – 24</c:v>
                </c:pt>
                <c:pt idx="1">
                  <c:v>25 – 34</c:v>
                </c:pt>
                <c:pt idx="2">
                  <c:v>35 – 44</c:v>
                </c:pt>
                <c:pt idx="3">
                  <c:v>45 – 54</c:v>
                </c:pt>
                <c:pt idx="4">
                  <c:v>55 ve üzeri</c:v>
                </c:pt>
              </c:strCache>
            </c:strRef>
          </c:cat>
          <c:val>
            <c:numRef>
              <c:f>grafikler!$R$4:$V$4</c:f>
              <c:numCache>
                <c:formatCode>0%</c:formatCode>
                <c:ptCount val="5"/>
                <c:pt idx="2">
                  <c:v>2.2727272727272728E-2</c:v>
                </c:pt>
              </c:numCache>
            </c:numRef>
          </c:val>
          <c:extLst>
            <c:ext xmlns:c16="http://schemas.microsoft.com/office/drawing/2014/chart" uri="{C3380CC4-5D6E-409C-BE32-E72D297353CC}">
              <c16:uniqueId val="{00000000-D139-4182-86C8-648CDEEE94AB}"/>
            </c:ext>
          </c:extLst>
        </c:ser>
        <c:ser>
          <c:idx val="1"/>
          <c:order val="1"/>
          <c:tx>
            <c:strRef>
              <c:f>grafikler!$Q$5</c:f>
              <c:strCache>
                <c:ptCount val="1"/>
                <c:pt idx="0">
                  <c:v>Erkek</c:v>
                </c:pt>
              </c:strCache>
            </c:strRef>
          </c:tx>
          <c:spPr>
            <a:solidFill>
              <a:schemeClr val="accent1"/>
            </a:solidFill>
            <a:ln>
              <a:noFill/>
            </a:ln>
            <a:effectLst/>
          </c:spPr>
          <c:invertIfNegative val="0"/>
          <c:cat>
            <c:strRef>
              <c:f>grafikler!$R$3:$V$3</c:f>
              <c:strCache>
                <c:ptCount val="5"/>
                <c:pt idx="0">
                  <c:v>18 – 24</c:v>
                </c:pt>
                <c:pt idx="1">
                  <c:v>25 – 34</c:v>
                </c:pt>
                <c:pt idx="2">
                  <c:v>35 – 44</c:v>
                </c:pt>
                <c:pt idx="3">
                  <c:v>45 – 54</c:v>
                </c:pt>
                <c:pt idx="4">
                  <c:v>55 ve üzeri</c:v>
                </c:pt>
              </c:strCache>
            </c:strRef>
          </c:cat>
          <c:val>
            <c:numRef>
              <c:f>grafikler!$R$5:$V$5</c:f>
              <c:numCache>
                <c:formatCode>0%</c:formatCode>
                <c:ptCount val="5"/>
                <c:pt idx="0">
                  <c:v>9.0909090909090912E-2</c:v>
                </c:pt>
                <c:pt idx="1">
                  <c:v>0.15909090909090909</c:v>
                </c:pt>
                <c:pt idx="2">
                  <c:v>0.18181818181818182</c:v>
                </c:pt>
                <c:pt idx="3">
                  <c:v>0.25</c:v>
                </c:pt>
                <c:pt idx="4">
                  <c:v>4.5454545454545456E-2</c:v>
                </c:pt>
              </c:numCache>
            </c:numRef>
          </c:val>
          <c:extLst>
            <c:ext xmlns:c16="http://schemas.microsoft.com/office/drawing/2014/chart" uri="{C3380CC4-5D6E-409C-BE32-E72D297353CC}">
              <c16:uniqueId val="{00000001-D139-4182-86C8-648CDEEE94AB}"/>
            </c:ext>
          </c:extLst>
        </c:ser>
        <c:ser>
          <c:idx val="2"/>
          <c:order val="2"/>
          <c:tx>
            <c:strRef>
              <c:f>grafikler!$Q$6</c:f>
              <c:strCache>
                <c:ptCount val="1"/>
                <c:pt idx="0">
                  <c:v>Kadın</c:v>
                </c:pt>
              </c:strCache>
            </c:strRef>
          </c:tx>
          <c:spPr>
            <a:solidFill>
              <a:schemeClr val="accent1">
                <a:tint val="65000"/>
              </a:schemeClr>
            </a:solidFill>
            <a:ln>
              <a:noFill/>
            </a:ln>
            <a:effectLst/>
          </c:spPr>
          <c:invertIfNegative val="0"/>
          <c:cat>
            <c:strRef>
              <c:f>grafikler!$R$3:$V$3</c:f>
              <c:strCache>
                <c:ptCount val="5"/>
                <c:pt idx="0">
                  <c:v>18 – 24</c:v>
                </c:pt>
                <c:pt idx="1">
                  <c:v>25 – 34</c:v>
                </c:pt>
                <c:pt idx="2">
                  <c:v>35 – 44</c:v>
                </c:pt>
                <c:pt idx="3">
                  <c:v>45 – 54</c:v>
                </c:pt>
                <c:pt idx="4">
                  <c:v>55 ve üzeri</c:v>
                </c:pt>
              </c:strCache>
            </c:strRef>
          </c:cat>
          <c:val>
            <c:numRef>
              <c:f>grafikler!$R$6:$V$6</c:f>
              <c:numCache>
                <c:formatCode>0%</c:formatCode>
                <c:ptCount val="5"/>
                <c:pt idx="1">
                  <c:v>6.8181818181818177E-2</c:v>
                </c:pt>
                <c:pt idx="2">
                  <c:v>0.15909090909090909</c:v>
                </c:pt>
                <c:pt idx="4">
                  <c:v>2.2727272727272728E-2</c:v>
                </c:pt>
              </c:numCache>
            </c:numRef>
          </c:val>
          <c:extLst>
            <c:ext xmlns:c16="http://schemas.microsoft.com/office/drawing/2014/chart" uri="{C3380CC4-5D6E-409C-BE32-E72D297353CC}">
              <c16:uniqueId val="{00000002-D139-4182-86C8-648CDEEE94AB}"/>
            </c:ext>
          </c:extLst>
        </c:ser>
        <c:dLbls>
          <c:showLegendKey val="0"/>
          <c:showVal val="0"/>
          <c:showCatName val="0"/>
          <c:showSerName val="0"/>
          <c:showPercent val="0"/>
          <c:showBubbleSize val="0"/>
        </c:dLbls>
        <c:gapWidth val="150"/>
        <c:overlap val="100"/>
        <c:axId val="1210946287"/>
        <c:axId val="1091703103"/>
      </c:barChart>
      <c:catAx>
        <c:axId val="121094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703103"/>
        <c:crosses val="autoZero"/>
        <c:auto val="1"/>
        <c:lblAlgn val="ctr"/>
        <c:lblOffset val="100"/>
        <c:noMultiLvlLbl val="0"/>
      </c:catAx>
      <c:valAx>
        <c:axId val="10917031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946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EĞİTİM</a:t>
            </a:r>
            <a:r>
              <a:rPr lang="en-US" baseline="0"/>
              <a:t> DÜZEYİ</a:t>
            </a:r>
            <a:endParaRPr lang="en-US"/>
          </a:p>
        </c:rich>
      </c:tx>
      <c:layout>
        <c:manualLayout>
          <c:xMode val="edge"/>
          <c:yMode val="edge"/>
          <c:x val="0.38764396028940457"/>
          <c:y val="1.9385102517865901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540606658967817"/>
          <c:y val="0.28604866338243018"/>
          <c:w val="0.81947451082797207"/>
          <c:h val="0.69923434826930342"/>
        </c:manualLayout>
      </c:layout>
      <c:pie3DChart>
        <c:varyColors val="1"/>
        <c:ser>
          <c:idx val="0"/>
          <c:order val="0"/>
          <c:dPt>
            <c:idx val="0"/>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AFF-4024-90D8-C196D18F3778}"/>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AFF-4024-90D8-C196D18F3778}"/>
              </c:ext>
            </c:extLst>
          </c:dPt>
          <c:dPt>
            <c:idx val="2"/>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AFF-4024-90D8-C196D18F3778}"/>
              </c:ext>
            </c:extLst>
          </c:dPt>
          <c:dPt>
            <c:idx val="3"/>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3AFF-4024-90D8-C196D18F3778}"/>
              </c:ext>
            </c:extLst>
          </c:dPt>
          <c:dPt>
            <c:idx val="4"/>
            <c:bubble3D val="0"/>
            <c:spPr>
              <a:solidFill>
                <a:schemeClr val="accent1">
                  <a:tint val="9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3AFF-4024-90D8-C196D18F3778}"/>
              </c:ext>
            </c:extLst>
          </c:dPt>
          <c:dPt>
            <c:idx val="5"/>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3AFF-4024-90D8-C196D18F3778}"/>
              </c:ext>
            </c:extLst>
          </c:dPt>
          <c:dPt>
            <c:idx val="6"/>
            <c:bubble3D val="0"/>
            <c:spPr>
              <a:solidFill>
                <a:schemeClr val="accent1">
                  <a:tint val="2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3AFF-4024-90D8-C196D18F3778}"/>
              </c:ext>
            </c:extLst>
          </c:dPt>
          <c:dPt>
            <c:idx val="7"/>
            <c:bubble3D val="0"/>
            <c:spPr>
              <a:solidFill>
                <a:schemeClr val="accent1">
                  <a:tint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3AFF-4024-90D8-C196D18F3778}"/>
              </c:ext>
            </c:extLst>
          </c:dPt>
          <c:dPt>
            <c:idx val="8"/>
            <c:bubble3D val="0"/>
            <c:spPr>
              <a:solidFill>
                <a:schemeClr val="accent1">
                  <a:tint val="5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3AFF-4024-90D8-C196D18F3778}"/>
              </c:ext>
            </c:extLst>
          </c:dPt>
          <c:dLbls>
            <c:dLbl>
              <c:idx val="0"/>
              <c:layout>
                <c:manualLayout>
                  <c:x val="-8.4927803914251563E-3"/>
                  <c:y val="-3.0675494584540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AFF-4024-90D8-C196D18F3778}"/>
                </c:ext>
              </c:extLst>
            </c:dLbl>
            <c:dLbl>
              <c:idx val="1"/>
              <c:spPr>
                <a:noFill/>
                <a:ln>
                  <a:noFill/>
                </a:ln>
                <a:effectLst/>
              </c:spPr>
              <c:txPr>
                <a:bodyPr rot="0" spcFirstLastPara="1" vertOverflow="ellipsis" vert="horz" wrap="square" lIns="38100" tIns="19050" rIns="38100" bIns="19050" anchor="ctr" anchorCtr="0">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3AFF-4024-90D8-C196D18F3778}"/>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3AFF-4024-90D8-C196D18F3778}"/>
                </c:ext>
              </c:extLst>
            </c:dLbl>
            <c:dLbl>
              <c:idx val="3"/>
              <c:layout>
                <c:manualLayout>
                  <c:x val="-5.3231849990888494E-2"/>
                  <c:y val="-1.7400121025819957E-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7384173956626107"/>
                      <c:h val="0.1961568843196585"/>
                    </c:manualLayout>
                  </c15:layout>
                </c:ext>
                <c:ext xmlns:c16="http://schemas.microsoft.com/office/drawing/2014/chart" uri="{C3380CC4-5D6E-409C-BE32-E72D297353CC}">
                  <c16:uniqueId val="{00000007-3AFF-4024-90D8-C196D18F3778}"/>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3AFF-4024-90D8-C196D18F3778}"/>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3AFF-4024-90D8-C196D18F3778}"/>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3AFF-4024-90D8-C196D18F3778}"/>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F-3AFF-4024-90D8-C196D18F3778}"/>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3AFF-4024-90D8-C196D18F377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grafikler!$A$45:$A$49</c:f>
              <c:strCache>
                <c:ptCount val="5"/>
                <c:pt idx="0">
                  <c:v>Doktora</c:v>
                </c:pt>
                <c:pt idx="1">
                  <c:v>Lisans</c:v>
                </c:pt>
                <c:pt idx="2">
                  <c:v>Lisansüstü</c:v>
                </c:pt>
                <c:pt idx="3">
                  <c:v>Teknik Lise/ Endüstri Meslek Lisesi</c:v>
                </c:pt>
                <c:pt idx="4">
                  <c:v>Ortaöğretim</c:v>
                </c:pt>
              </c:strCache>
            </c:strRef>
          </c:cat>
          <c:val>
            <c:numRef>
              <c:f>grafikler!$B$45:$B$49</c:f>
              <c:numCache>
                <c:formatCode>General</c:formatCode>
                <c:ptCount val="5"/>
                <c:pt idx="0">
                  <c:v>2</c:v>
                </c:pt>
                <c:pt idx="1">
                  <c:v>30</c:v>
                </c:pt>
                <c:pt idx="2">
                  <c:v>9</c:v>
                </c:pt>
                <c:pt idx="3">
                  <c:v>2</c:v>
                </c:pt>
                <c:pt idx="4">
                  <c:v>1</c:v>
                </c:pt>
              </c:numCache>
            </c:numRef>
          </c:val>
          <c:extLst>
            <c:ext xmlns:c16="http://schemas.microsoft.com/office/drawing/2014/chart" uri="{C3380CC4-5D6E-409C-BE32-E72D297353CC}">
              <c16:uniqueId val="{00000012-3AFF-4024-90D8-C196D18F3778}"/>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YaŞ</a:t>
            </a:r>
          </a:p>
        </c:rich>
      </c:tx>
      <c:layout>
        <c:manualLayout>
          <c:xMode val="edge"/>
          <c:yMode val="edge"/>
          <c:x val="0.4130035030359181"/>
          <c:y val="1.5648715161375261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9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DBEE-4207-A910-7304D8EDB747}"/>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DBEE-4207-A910-7304D8EDB747}"/>
              </c:ext>
            </c:extLst>
          </c:dPt>
          <c:dPt>
            <c:idx val="2"/>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DBEE-4207-A910-7304D8EDB747}"/>
              </c:ext>
            </c:extLst>
          </c:dPt>
          <c:dPt>
            <c:idx val="3"/>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DBEE-4207-A910-7304D8EDB747}"/>
              </c:ext>
            </c:extLst>
          </c:dPt>
          <c:dPt>
            <c:idx val="4"/>
            <c:bubble3D val="0"/>
            <c:spPr>
              <a:solidFill>
                <a:schemeClr val="accent1">
                  <a:tint val="9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DBEE-4207-A910-7304D8EDB747}"/>
              </c:ext>
            </c:extLst>
          </c:dPt>
          <c:dPt>
            <c:idx val="5"/>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DBEE-4207-A910-7304D8EDB747}"/>
              </c:ext>
            </c:extLst>
          </c:dPt>
          <c:dPt>
            <c:idx val="6"/>
            <c:bubble3D val="0"/>
            <c:spPr>
              <a:solidFill>
                <a:schemeClr val="accent1">
                  <a:tint val="2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DBEE-4207-A910-7304D8EDB747}"/>
              </c:ext>
            </c:extLst>
          </c:dPt>
          <c:dPt>
            <c:idx val="7"/>
            <c:bubble3D val="0"/>
            <c:spPr>
              <a:solidFill>
                <a:schemeClr val="accent1">
                  <a:tint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DBEE-4207-A910-7304D8EDB747}"/>
              </c:ext>
            </c:extLst>
          </c:dPt>
          <c:dPt>
            <c:idx val="8"/>
            <c:bubble3D val="0"/>
            <c:spPr>
              <a:solidFill>
                <a:schemeClr val="accent1">
                  <a:tint val="5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DBEE-4207-A910-7304D8EDB747}"/>
              </c:ext>
            </c:extLst>
          </c:dPt>
          <c:dLbls>
            <c:dLbl>
              <c:idx val="0"/>
              <c:layout>
                <c:manualLayout>
                  <c:x val="-8.4927803914251563E-3"/>
                  <c:y val="-3.0675494584540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BEE-4207-A910-7304D8EDB747}"/>
                </c:ext>
              </c:extLst>
            </c:dLbl>
            <c:dLbl>
              <c:idx val="1"/>
              <c:spPr>
                <a:noFill/>
                <a:ln>
                  <a:noFill/>
                </a:ln>
                <a:effectLst/>
              </c:spPr>
              <c:txPr>
                <a:bodyPr rot="0" spcFirstLastPara="1" vertOverflow="ellipsis" vert="horz" wrap="square" lIns="38100" tIns="19050" rIns="38100" bIns="19050" anchor="ctr" anchorCtr="0">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DBEE-4207-A910-7304D8EDB74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DBEE-4207-A910-7304D8EDB74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DBEE-4207-A910-7304D8EDB747}"/>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DBEE-4207-A910-7304D8EDB747}"/>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DBEE-4207-A910-7304D8EDB747}"/>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DBEE-4207-A910-7304D8EDB747}"/>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F-DBEE-4207-A910-7304D8EDB747}"/>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DBEE-4207-A910-7304D8EDB74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grafikler!$A$2:$A$6</c:f>
              <c:strCache>
                <c:ptCount val="5"/>
                <c:pt idx="0">
                  <c:v>18 – 24</c:v>
                </c:pt>
                <c:pt idx="1">
                  <c:v>25 – 34</c:v>
                </c:pt>
                <c:pt idx="2">
                  <c:v>35 – 44</c:v>
                </c:pt>
                <c:pt idx="3">
                  <c:v>45 – 54</c:v>
                </c:pt>
                <c:pt idx="4">
                  <c:v>55 ve üzeri</c:v>
                </c:pt>
              </c:strCache>
            </c:strRef>
          </c:cat>
          <c:val>
            <c:numRef>
              <c:f>grafikler!$B$2:$B$6</c:f>
              <c:numCache>
                <c:formatCode>General</c:formatCode>
                <c:ptCount val="5"/>
                <c:pt idx="0">
                  <c:v>4</c:v>
                </c:pt>
                <c:pt idx="1">
                  <c:v>10</c:v>
                </c:pt>
                <c:pt idx="2">
                  <c:v>16</c:v>
                </c:pt>
                <c:pt idx="3">
                  <c:v>11</c:v>
                </c:pt>
                <c:pt idx="4">
                  <c:v>3</c:v>
                </c:pt>
              </c:numCache>
            </c:numRef>
          </c:val>
          <c:extLst>
            <c:ext xmlns:c16="http://schemas.microsoft.com/office/drawing/2014/chart" uri="{C3380CC4-5D6E-409C-BE32-E72D297353CC}">
              <c16:uniqueId val="{00000012-DBEE-4207-A910-7304D8EDB747}"/>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SEKTÖREL</a:t>
            </a:r>
            <a:r>
              <a:rPr lang="en-US" baseline="0"/>
              <a:t> İŞ DENEYİMİ</a:t>
            </a:r>
            <a:endParaRPr lang="en-US"/>
          </a:p>
        </c:rich>
      </c:tx>
      <c:layout>
        <c:manualLayout>
          <c:xMode val="edge"/>
          <c:yMode val="edge"/>
          <c:x val="0.2786452059609405"/>
          <c:y val="2.3233697999201754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540606658967817"/>
          <c:y val="0.28604866338243018"/>
          <c:w val="0.81947451082797207"/>
          <c:h val="0.69923434826930342"/>
        </c:manualLayout>
      </c:layout>
      <c:pie3DChart>
        <c:varyColors val="1"/>
        <c:ser>
          <c:idx val="0"/>
          <c:order val="0"/>
          <c:dPt>
            <c:idx val="0"/>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A243-4B8F-B580-D748C58C3B6B}"/>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243-4B8F-B580-D748C58C3B6B}"/>
              </c:ext>
            </c:extLst>
          </c:dPt>
          <c:dPt>
            <c:idx val="2"/>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A243-4B8F-B580-D748C58C3B6B}"/>
              </c:ext>
            </c:extLst>
          </c:dPt>
          <c:dPt>
            <c:idx val="3"/>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A243-4B8F-B580-D748C58C3B6B}"/>
              </c:ext>
            </c:extLst>
          </c:dPt>
          <c:dPt>
            <c:idx val="4"/>
            <c:bubble3D val="0"/>
            <c:spPr>
              <a:solidFill>
                <a:schemeClr val="accent1">
                  <a:tint val="9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A243-4B8F-B580-D748C58C3B6B}"/>
              </c:ext>
            </c:extLst>
          </c:dPt>
          <c:dPt>
            <c:idx val="5"/>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A243-4B8F-B580-D748C58C3B6B}"/>
              </c:ext>
            </c:extLst>
          </c:dPt>
          <c:dPt>
            <c:idx val="6"/>
            <c:bubble3D val="0"/>
            <c:spPr>
              <a:solidFill>
                <a:schemeClr val="accent1">
                  <a:tint val="2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A243-4B8F-B580-D748C58C3B6B}"/>
              </c:ext>
            </c:extLst>
          </c:dPt>
          <c:dPt>
            <c:idx val="7"/>
            <c:bubble3D val="0"/>
            <c:spPr>
              <a:solidFill>
                <a:schemeClr val="accent1">
                  <a:tint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A243-4B8F-B580-D748C58C3B6B}"/>
              </c:ext>
            </c:extLst>
          </c:dPt>
          <c:dPt>
            <c:idx val="8"/>
            <c:bubble3D val="0"/>
            <c:spPr>
              <a:solidFill>
                <a:schemeClr val="accent1">
                  <a:tint val="5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A243-4B8F-B580-D748C58C3B6B}"/>
              </c:ext>
            </c:extLst>
          </c:dPt>
          <c:dLbls>
            <c:dLbl>
              <c:idx val="0"/>
              <c:layout>
                <c:manualLayout>
                  <c:x val="-8.4927803914251563E-3"/>
                  <c:y val="-3.0675494584540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243-4B8F-B580-D748C58C3B6B}"/>
                </c:ext>
              </c:extLst>
            </c:dLbl>
            <c:dLbl>
              <c:idx val="1"/>
              <c:spPr>
                <a:noFill/>
                <a:ln>
                  <a:noFill/>
                </a:ln>
                <a:effectLst/>
              </c:spPr>
              <c:txPr>
                <a:bodyPr rot="0" spcFirstLastPara="1" vertOverflow="ellipsis" vert="horz" wrap="square" lIns="38100" tIns="19050" rIns="38100" bIns="19050" anchor="ctr" anchorCtr="0">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A243-4B8F-B580-D748C58C3B6B}"/>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A243-4B8F-B580-D748C58C3B6B}"/>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7384173956626107"/>
                      <c:h val="0.1961568843196585"/>
                    </c:manualLayout>
                  </c15:layout>
                </c:ext>
                <c:ext xmlns:c16="http://schemas.microsoft.com/office/drawing/2014/chart" uri="{C3380CC4-5D6E-409C-BE32-E72D297353CC}">
                  <c16:uniqueId val="{00000007-A243-4B8F-B580-D748C58C3B6B}"/>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A243-4B8F-B580-D748C58C3B6B}"/>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A243-4B8F-B580-D748C58C3B6B}"/>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A243-4B8F-B580-D748C58C3B6B}"/>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F-A243-4B8F-B580-D748C58C3B6B}"/>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A243-4B8F-B580-D748C58C3B6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grafikler!$A$70:$A$73</c:f>
              <c:strCache>
                <c:ptCount val="4"/>
                <c:pt idx="0">
                  <c:v>1 – 3 yıl</c:v>
                </c:pt>
                <c:pt idx="1">
                  <c:v>10 yıl üzeri</c:v>
                </c:pt>
                <c:pt idx="2">
                  <c:v>3 – 5 yıl</c:v>
                </c:pt>
                <c:pt idx="3">
                  <c:v>5 – 10 yıl</c:v>
                </c:pt>
              </c:strCache>
            </c:strRef>
          </c:cat>
          <c:val>
            <c:numRef>
              <c:f>grafikler!$B$70:$B$73</c:f>
              <c:numCache>
                <c:formatCode>General</c:formatCode>
                <c:ptCount val="4"/>
                <c:pt idx="0">
                  <c:v>8</c:v>
                </c:pt>
                <c:pt idx="1">
                  <c:v>10</c:v>
                </c:pt>
                <c:pt idx="2">
                  <c:v>13</c:v>
                </c:pt>
                <c:pt idx="3">
                  <c:v>13</c:v>
                </c:pt>
              </c:numCache>
            </c:numRef>
          </c:val>
          <c:extLst>
            <c:ext xmlns:c16="http://schemas.microsoft.com/office/drawing/2014/chart" uri="{C3380CC4-5D6E-409C-BE32-E72D297353CC}">
              <c16:uniqueId val="{00000012-A243-4B8F-B580-D748C58C3B6B}"/>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EğİTİM</a:t>
            </a:r>
            <a:r>
              <a:rPr lang="en-US" baseline="0"/>
              <a:t> - GÖREV İLİŞKİSİ</a:t>
            </a:r>
            <a:endParaRPr lang="en-US"/>
          </a:p>
        </c:rich>
      </c:tx>
      <c:layout>
        <c:manualLayout>
          <c:xMode val="edge"/>
          <c:yMode val="edge"/>
          <c:x val="0.26057617745267114"/>
          <c:y val="2.6874924077334567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9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99FA-4D18-BB47-F9FD76BDE215}"/>
              </c:ext>
            </c:extLst>
          </c:dPt>
          <c:dPt>
            <c:idx val="1"/>
            <c:bubble3D val="0"/>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99FA-4D18-BB47-F9FD76BDE215}"/>
              </c:ext>
            </c:extLst>
          </c:dPt>
          <c:dPt>
            <c:idx val="2"/>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99FA-4D18-BB47-F9FD76BDE215}"/>
              </c:ext>
            </c:extLst>
          </c:dPt>
          <c:dPt>
            <c:idx val="3"/>
            <c:bubble3D val="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99FA-4D18-BB47-F9FD76BDE215}"/>
              </c:ext>
            </c:extLst>
          </c:dPt>
          <c:dPt>
            <c:idx val="4"/>
            <c:bubble3D val="0"/>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99FA-4D18-BB47-F9FD76BDE215}"/>
              </c:ext>
            </c:extLst>
          </c:dPt>
          <c:dPt>
            <c:idx val="5"/>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99FA-4D18-BB47-F9FD76BDE215}"/>
              </c:ext>
            </c:extLst>
          </c:dPt>
          <c:dPt>
            <c:idx val="6"/>
            <c:bubble3D val="0"/>
            <c:spPr>
              <a:solidFill>
                <a:schemeClr val="accent1">
                  <a:tint val="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99FA-4D18-BB47-F9FD76BDE215}"/>
              </c:ext>
            </c:extLst>
          </c:dPt>
          <c:dPt>
            <c:idx val="7"/>
            <c:bubble3D val="0"/>
            <c:spPr>
              <a:solidFill>
                <a:schemeClr val="accent1">
                  <a:tint val="8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99FA-4D18-BB47-F9FD76BDE215}"/>
              </c:ext>
            </c:extLst>
          </c:dPt>
          <c:dPt>
            <c:idx val="8"/>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99FA-4D18-BB47-F9FD76BDE21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1-99FA-4D18-BB47-F9FD76BDE215}"/>
                </c:ext>
              </c:extLst>
            </c:dLbl>
            <c:dLbl>
              <c:idx val="1"/>
              <c:spPr>
                <a:noFill/>
                <a:ln>
                  <a:noFill/>
                </a:ln>
                <a:effectLst/>
              </c:spPr>
              <c:txPr>
                <a:bodyPr rot="0" spcFirstLastPara="1" vertOverflow="ellipsis" vert="horz" wrap="square" lIns="38100" tIns="19050" rIns="38100" bIns="19050" anchor="ctr" anchorCtr="0">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99FA-4D18-BB47-F9FD76BDE21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99FA-4D18-BB47-F9FD76BDE215}"/>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99FA-4D18-BB47-F9FD76BDE215}"/>
                </c:ext>
              </c:extLst>
            </c:dLbl>
            <c:dLbl>
              <c:idx val="4"/>
              <c:layout>
                <c:manualLayout>
                  <c:x val="-4.3337432409965564E-2"/>
                  <c:y val="5.310487365243934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9FA-4D18-BB47-F9FD76BDE215}"/>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99FA-4D18-BB47-F9FD76BDE215}"/>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99FA-4D18-BB47-F9FD76BDE215}"/>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F-99FA-4D18-BB47-F9FD76BDE215}"/>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99FA-4D18-BB47-F9FD76BDE21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grafikler!$A$361:$A$365</c:f>
              <c:strCache>
                <c:ptCount val="5"/>
                <c:pt idx="0">
                  <c:v>Kesinlikle katılmıyorum</c:v>
                </c:pt>
                <c:pt idx="1">
                  <c:v>Katılmıyorum</c:v>
                </c:pt>
                <c:pt idx="2">
                  <c:v>Kararsız / Tarafsız</c:v>
                </c:pt>
                <c:pt idx="3">
                  <c:v>Katılıyorum</c:v>
                </c:pt>
                <c:pt idx="4">
                  <c:v>Kesinlikle katılıyorum</c:v>
                </c:pt>
              </c:strCache>
            </c:strRef>
          </c:cat>
          <c:val>
            <c:numRef>
              <c:f>grafikler!$B$361:$B$365</c:f>
              <c:numCache>
                <c:formatCode>General</c:formatCode>
                <c:ptCount val="5"/>
                <c:pt idx="0">
                  <c:v>5</c:v>
                </c:pt>
                <c:pt idx="1">
                  <c:v>3</c:v>
                </c:pt>
                <c:pt idx="2">
                  <c:v>13</c:v>
                </c:pt>
                <c:pt idx="3">
                  <c:v>10</c:v>
                </c:pt>
                <c:pt idx="4">
                  <c:v>13</c:v>
                </c:pt>
              </c:numCache>
            </c:numRef>
          </c:val>
          <c:extLst>
            <c:ext xmlns:c16="http://schemas.microsoft.com/office/drawing/2014/chart" uri="{C3380CC4-5D6E-409C-BE32-E72D297353CC}">
              <c16:uniqueId val="{00000012-99FA-4D18-BB47-F9FD76BDE215}"/>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SERTİFİKA</a:t>
            </a:r>
            <a:r>
              <a:rPr lang="en-US" baseline="0"/>
              <a:t> - GÖREV İLİŞKİSİ</a:t>
            </a:r>
            <a:endParaRPr lang="en-US"/>
          </a:p>
        </c:rich>
      </c:tx>
      <c:layout>
        <c:manualLayout>
          <c:xMode val="edge"/>
          <c:yMode val="edge"/>
          <c:x val="0.24795674495749342"/>
          <c:y val="3.0628570212542085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1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DB71-4920-B960-1A181486D410}"/>
              </c:ext>
            </c:extLst>
          </c:dPt>
          <c:dPt>
            <c:idx val="1"/>
            <c:bubble3D val="0"/>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DB71-4920-B960-1A181486D410}"/>
              </c:ext>
            </c:extLst>
          </c:dPt>
          <c:dPt>
            <c:idx val="2"/>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DB71-4920-B960-1A181486D410}"/>
              </c:ext>
            </c:extLst>
          </c:dPt>
          <c:dPt>
            <c:idx val="3"/>
            <c:bubble3D val="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DB71-4920-B960-1A181486D410}"/>
              </c:ext>
            </c:extLst>
          </c:dPt>
          <c:dPt>
            <c:idx val="4"/>
            <c:bubble3D val="0"/>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DB71-4920-B960-1A181486D410}"/>
              </c:ext>
            </c:extLst>
          </c:dPt>
          <c:dPt>
            <c:idx val="5"/>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DB71-4920-B960-1A181486D410}"/>
              </c:ext>
            </c:extLst>
          </c:dPt>
          <c:dPt>
            <c:idx val="6"/>
            <c:bubble3D val="0"/>
            <c:spPr>
              <a:solidFill>
                <a:schemeClr val="accent1">
                  <a:tint val="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DB71-4920-B960-1A181486D410}"/>
              </c:ext>
            </c:extLst>
          </c:dPt>
          <c:dPt>
            <c:idx val="7"/>
            <c:bubble3D val="0"/>
            <c:spPr>
              <a:solidFill>
                <a:schemeClr val="accent1">
                  <a:tint val="8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DB71-4920-B960-1A181486D410}"/>
              </c:ext>
            </c:extLst>
          </c:dPt>
          <c:dPt>
            <c:idx val="8"/>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DB71-4920-B960-1A181486D41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1-DB71-4920-B960-1A181486D410}"/>
                </c:ext>
              </c:extLst>
            </c:dLbl>
            <c:dLbl>
              <c:idx val="1"/>
              <c:spPr>
                <a:noFill/>
                <a:ln>
                  <a:noFill/>
                </a:ln>
                <a:effectLst/>
              </c:spPr>
              <c:txPr>
                <a:bodyPr rot="0" spcFirstLastPara="1" vertOverflow="ellipsis" vert="horz" wrap="square" lIns="38100" tIns="19050" rIns="38100" bIns="19050" anchor="ctr" anchorCtr="0">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DB71-4920-B960-1A181486D41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DB71-4920-B960-1A181486D41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DB71-4920-B960-1A181486D410}"/>
                </c:ext>
              </c:extLst>
            </c:dLbl>
            <c:dLbl>
              <c:idx val="4"/>
              <c:layout>
                <c:manualLayout>
                  <c:x val="-4.3337432409965564E-2"/>
                  <c:y val="5.310487365243934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B71-4920-B960-1A181486D410}"/>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DB71-4920-B960-1A181486D410}"/>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DB71-4920-B960-1A181486D410}"/>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F-DB71-4920-B960-1A181486D410}"/>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DB71-4920-B960-1A181486D41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grafikler!$A$387:$A$391</c:f>
              <c:strCache>
                <c:ptCount val="5"/>
                <c:pt idx="0">
                  <c:v>Kesinlikle katılmıyorum</c:v>
                </c:pt>
                <c:pt idx="1">
                  <c:v>Katılmıyorum</c:v>
                </c:pt>
                <c:pt idx="2">
                  <c:v>Kararsız / Tarafsız</c:v>
                </c:pt>
                <c:pt idx="3">
                  <c:v>Katılıyorum</c:v>
                </c:pt>
                <c:pt idx="4">
                  <c:v>Kesinlikle katılıyorum</c:v>
                </c:pt>
              </c:strCache>
            </c:strRef>
          </c:cat>
          <c:val>
            <c:numRef>
              <c:f>grafikler!$B$387:$B$391</c:f>
              <c:numCache>
                <c:formatCode>General</c:formatCode>
                <c:ptCount val="5"/>
                <c:pt idx="0">
                  <c:v>1</c:v>
                </c:pt>
                <c:pt idx="1">
                  <c:v>2</c:v>
                </c:pt>
                <c:pt idx="2">
                  <c:v>9</c:v>
                </c:pt>
                <c:pt idx="3">
                  <c:v>9</c:v>
                </c:pt>
                <c:pt idx="4">
                  <c:v>14</c:v>
                </c:pt>
              </c:numCache>
            </c:numRef>
          </c:val>
          <c:extLst>
            <c:ext xmlns:c16="http://schemas.microsoft.com/office/drawing/2014/chart" uri="{C3380CC4-5D6E-409C-BE32-E72D297353CC}">
              <c16:uniqueId val="{00000012-DB71-4920-B960-1A181486D410}"/>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KİŞİSEL</a:t>
            </a:r>
            <a:r>
              <a:rPr lang="en-US" baseline="0"/>
              <a:t> </a:t>
            </a:r>
            <a:r>
              <a:rPr lang="en-US"/>
              <a:t>İş GÜVENCESİ</a:t>
            </a:r>
            <a:r>
              <a:rPr lang="en-US" baseline="0"/>
              <a:t> ALGISI</a:t>
            </a:r>
            <a:endParaRPr lang="en-US"/>
          </a:p>
        </c:rich>
      </c:tx>
      <c:layout>
        <c:manualLayout>
          <c:xMode val="edge"/>
          <c:yMode val="edge"/>
          <c:x val="0.24795674495749342"/>
          <c:y val="3.0628570212542085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1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D2E7-49A8-9CED-B345C4848635}"/>
              </c:ext>
            </c:extLst>
          </c:dPt>
          <c:dPt>
            <c:idx val="1"/>
            <c:bubble3D val="0"/>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D2E7-49A8-9CED-B345C4848635}"/>
              </c:ext>
            </c:extLst>
          </c:dPt>
          <c:dPt>
            <c:idx val="2"/>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D2E7-49A8-9CED-B345C4848635}"/>
              </c:ext>
            </c:extLst>
          </c:dPt>
          <c:dPt>
            <c:idx val="3"/>
            <c:bubble3D val="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D2E7-49A8-9CED-B345C4848635}"/>
              </c:ext>
            </c:extLst>
          </c:dPt>
          <c:dPt>
            <c:idx val="4"/>
            <c:bubble3D val="0"/>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D2E7-49A8-9CED-B345C4848635}"/>
              </c:ext>
            </c:extLst>
          </c:dPt>
          <c:dPt>
            <c:idx val="5"/>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D2E7-49A8-9CED-B345C4848635}"/>
              </c:ext>
            </c:extLst>
          </c:dPt>
          <c:dPt>
            <c:idx val="6"/>
            <c:bubble3D val="0"/>
            <c:spPr>
              <a:solidFill>
                <a:schemeClr val="accent1">
                  <a:tint val="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D2E7-49A8-9CED-B345C4848635}"/>
              </c:ext>
            </c:extLst>
          </c:dPt>
          <c:dPt>
            <c:idx val="7"/>
            <c:bubble3D val="0"/>
            <c:spPr>
              <a:solidFill>
                <a:schemeClr val="accent1">
                  <a:tint val="8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D2E7-49A8-9CED-B345C4848635}"/>
              </c:ext>
            </c:extLst>
          </c:dPt>
          <c:dPt>
            <c:idx val="8"/>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D2E7-49A8-9CED-B345C484863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1-D2E7-49A8-9CED-B345C4848635}"/>
                </c:ext>
              </c:extLst>
            </c:dLbl>
            <c:dLbl>
              <c:idx val="1"/>
              <c:spPr>
                <a:noFill/>
                <a:ln>
                  <a:noFill/>
                </a:ln>
                <a:effectLst/>
              </c:spPr>
              <c:txPr>
                <a:bodyPr rot="0" spcFirstLastPara="1" vertOverflow="ellipsis" vert="horz" wrap="square" lIns="38100" tIns="19050" rIns="38100" bIns="19050" anchor="ctr" anchorCtr="0">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D2E7-49A8-9CED-B345C484863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D2E7-49A8-9CED-B345C4848635}"/>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D2E7-49A8-9CED-B345C4848635}"/>
                </c:ext>
              </c:extLst>
            </c:dLbl>
            <c:dLbl>
              <c:idx val="4"/>
              <c:layout>
                <c:manualLayout>
                  <c:x val="-4.3337432409965564E-2"/>
                  <c:y val="5.310487365243934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2E7-49A8-9CED-B345C4848635}"/>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D2E7-49A8-9CED-B345C4848635}"/>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D2E7-49A8-9CED-B345C4848635}"/>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F-D2E7-49A8-9CED-B345C4848635}"/>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D2E7-49A8-9CED-B345C484863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grafikler!$A$412:$A$416</c:f>
              <c:strCache>
                <c:ptCount val="5"/>
                <c:pt idx="0">
                  <c:v>Kesinlikle katılmıyorum</c:v>
                </c:pt>
                <c:pt idx="1">
                  <c:v>Katılmıyorum</c:v>
                </c:pt>
                <c:pt idx="2">
                  <c:v>Kararsız / Tarafsız</c:v>
                </c:pt>
                <c:pt idx="3">
                  <c:v>Katılıyorum</c:v>
                </c:pt>
                <c:pt idx="4">
                  <c:v>Kesinlikle katılıyorum</c:v>
                </c:pt>
              </c:strCache>
            </c:strRef>
          </c:cat>
          <c:val>
            <c:numRef>
              <c:f>grafikler!$B$412:$B$416</c:f>
              <c:numCache>
                <c:formatCode>General</c:formatCode>
                <c:ptCount val="5"/>
                <c:pt idx="0">
                  <c:v>1</c:v>
                </c:pt>
                <c:pt idx="1">
                  <c:v>2</c:v>
                </c:pt>
                <c:pt idx="2">
                  <c:v>7</c:v>
                </c:pt>
                <c:pt idx="3">
                  <c:v>13</c:v>
                </c:pt>
                <c:pt idx="4">
                  <c:v>21</c:v>
                </c:pt>
              </c:numCache>
            </c:numRef>
          </c:val>
          <c:extLst>
            <c:ext xmlns:c16="http://schemas.microsoft.com/office/drawing/2014/chart" uri="{C3380CC4-5D6E-409C-BE32-E72D297353CC}">
              <c16:uniqueId val="{00000012-D2E7-49A8-9CED-B345C4848635}"/>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İŞVEREN İş GÜVENCESİ</a:t>
            </a:r>
            <a:r>
              <a:rPr lang="en-US" baseline="0"/>
              <a:t> ALGISI</a:t>
            </a:r>
            <a:endParaRPr lang="en-US"/>
          </a:p>
        </c:rich>
      </c:tx>
      <c:layout>
        <c:manualLayout>
          <c:xMode val="edge"/>
          <c:yMode val="edge"/>
          <c:x val="0.24795674495749342"/>
          <c:y val="3.0628570212542085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1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27F-4E48-8C27-46AAF2F024FB}"/>
              </c:ext>
            </c:extLst>
          </c:dPt>
          <c:dPt>
            <c:idx val="1"/>
            <c:bubble3D val="0"/>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27F-4E48-8C27-46AAF2F024FB}"/>
              </c:ext>
            </c:extLst>
          </c:dPt>
          <c:dPt>
            <c:idx val="2"/>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27F-4E48-8C27-46AAF2F024FB}"/>
              </c:ext>
            </c:extLst>
          </c:dPt>
          <c:dPt>
            <c:idx val="3"/>
            <c:bubble3D val="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727F-4E48-8C27-46AAF2F024FB}"/>
              </c:ext>
            </c:extLst>
          </c:dPt>
          <c:dPt>
            <c:idx val="4"/>
            <c:bubble3D val="0"/>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727F-4E48-8C27-46AAF2F024FB}"/>
              </c:ext>
            </c:extLst>
          </c:dPt>
          <c:dPt>
            <c:idx val="5"/>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727F-4E48-8C27-46AAF2F024FB}"/>
              </c:ext>
            </c:extLst>
          </c:dPt>
          <c:dPt>
            <c:idx val="6"/>
            <c:bubble3D val="0"/>
            <c:spPr>
              <a:solidFill>
                <a:schemeClr val="accent1">
                  <a:tint val="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727F-4E48-8C27-46AAF2F024FB}"/>
              </c:ext>
            </c:extLst>
          </c:dPt>
          <c:dPt>
            <c:idx val="7"/>
            <c:bubble3D val="0"/>
            <c:spPr>
              <a:solidFill>
                <a:schemeClr val="accent1">
                  <a:tint val="8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727F-4E48-8C27-46AAF2F024FB}"/>
              </c:ext>
            </c:extLst>
          </c:dPt>
          <c:dPt>
            <c:idx val="8"/>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727F-4E48-8C27-46AAF2F024F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1-727F-4E48-8C27-46AAF2F024FB}"/>
                </c:ext>
              </c:extLst>
            </c:dLbl>
            <c:dLbl>
              <c:idx val="1"/>
              <c:spPr>
                <a:noFill/>
                <a:ln>
                  <a:noFill/>
                </a:ln>
                <a:effectLst/>
              </c:spPr>
              <c:txPr>
                <a:bodyPr rot="0" spcFirstLastPara="1" vertOverflow="ellipsis" vert="horz" wrap="square" lIns="38100" tIns="19050" rIns="38100" bIns="19050" anchor="ctr" anchorCtr="0">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727F-4E48-8C27-46AAF2F024FB}"/>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727F-4E48-8C27-46AAF2F024FB}"/>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727F-4E48-8C27-46AAF2F024FB}"/>
                </c:ext>
              </c:extLst>
            </c:dLbl>
            <c:dLbl>
              <c:idx val="4"/>
              <c:layout>
                <c:manualLayout>
                  <c:x val="-4.3337432409965564E-2"/>
                  <c:y val="5.310487365243934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27F-4E48-8C27-46AAF2F024FB}"/>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727F-4E48-8C27-46AAF2F024FB}"/>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727F-4E48-8C27-46AAF2F024FB}"/>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F-727F-4E48-8C27-46AAF2F024FB}"/>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727F-4E48-8C27-46AAF2F024F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grafikler!$A$437:$A$441</c:f>
              <c:strCache>
                <c:ptCount val="5"/>
                <c:pt idx="0">
                  <c:v>Kesinlikle katılmıyorum</c:v>
                </c:pt>
                <c:pt idx="1">
                  <c:v>Katılmıyorum</c:v>
                </c:pt>
                <c:pt idx="2">
                  <c:v>Kararsız / Tarafsız</c:v>
                </c:pt>
                <c:pt idx="3">
                  <c:v>Katılıyorum</c:v>
                </c:pt>
                <c:pt idx="4">
                  <c:v>Kesinlikle katılıyorum</c:v>
                </c:pt>
              </c:strCache>
            </c:strRef>
          </c:cat>
          <c:val>
            <c:numRef>
              <c:f>grafikler!$B$437:$B$441</c:f>
              <c:numCache>
                <c:formatCode>General</c:formatCode>
                <c:ptCount val="5"/>
                <c:pt idx="0">
                  <c:v>2</c:v>
                </c:pt>
                <c:pt idx="1">
                  <c:v>2</c:v>
                </c:pt>
                <c:pt idx="2">
                  <c:v>12</c:v>
                </c:pt>
                <c:pt idx="3">
                  <c:v>11</c:v>
                </c:pt>
                <c:pt idx="4">
                  <c:v>17</c:v>
                </c:pt>
              </c:numCache>
            </c:numRef>
          </c:val>
          <c:extLst>
            <c:ext xmlns:c16="http://schemas.microsoft.com/office/drawing/2014/chart" uri="{C3380CC4-5D6E-409C-BE32-E72D297353CC}">
              <c16:uniqueId val="{00000012-727F-4E48-8C27-46AAF2F024FB}"/>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TEMİZ ENERJİ</a:t>
            </a:r>
            <a:r>
              <a:rPr lang="en-US" baseline="0"/>
              <a:t> TATMİNİ</a:t>
            </a:r>
            <a:endParaRPr lang="en-US"/>
          </a:p>
        </c:rich>
      </c:tx>
      <c:layout>
        <c:manualLayout>
          <c:xMode val="edge"/>
          <c:yMode val="edge"/>
          <c:x val="0.30640100595790548"/>
          <c:y val="3.4382095163878378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1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FE3-4E7D-B868-421018D57A6E}"/>
              </c:ext>
            </c:extLst>
          </c:dPt>
          <c:dPt>
            <c:idx val="1"/>
            <c:bubble3D val="0"/>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FE3-4E7D-B868-421018D57A6E}"/>
              </c:ext>
            </c:extLst>
          </c:dPt>
          <c:dPt>
            <c:idx val="2"/>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FE3-4E7D-B868-421018D57A6E}"/>
              </c:ext>
            </c:extLst>
          </c:dPt>
          <c:dPt>
            <c:idx val="3"/>
            <c:bubble3D val="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2FE3-4E7D-B868-421018D57A6E}"/>
              </c:ext>
            </c:extLst>
          </c:dPt>
          <c:dPt>
            <c:idx val="4"/>
            <c:bubble3D val="0"/>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2FE3-4E7D-B868-421018D57A6E}"/>
              </c:ext>
            </c:extLst>
          </c:dPt>
          <c:dPt>
            <c:idx val="5"/>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2FE3-4E7D-B868-421018D57A6E}"/>
              </c:ext>
            </c:extLst>
          </c:dPt>
          <c:dPt>
            <c:idx val="6"/>
            <c:bubble3D val="0"/>
            <c:spPr>
              <a:solidFill>
                <a:schemeClr val="accent1">
                  <a:tint val="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2FE3-4E7D-B868-421018D57A6E}"/>
              </c:ext>
            </c:extLst>
          </c:dPt>
          <c:dPt>
            <c:idx val="7"/>
            <c:bubble3D val="0"/>
            <c:spPr>
              <a:solidFill>
                <a:schemeClr val="accent1">
                  <a:tint val="8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2FE3-4E7D-B868-421018D57A6E}"/>
              </c:ext>
            </c:extLst>
          </c:dPt>
          <c:dPt>
            <c:idx val="8"/>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2FE3-4E7D-B868-421018D57A6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1-2FE3-4E7D-B868-421018D57A6E}"/>
                </c:ext>
              </c:extLst>
            </c:dLbl>
            <c:dLbl>
              <c:idx val="1"/>
              <c:spPr>
                <a:noFill/>
                <a:ln>
                  <a:noFill/>
                </a:ln>
                <a:effectLst/>
              </c:spPr>
              <c:txPr>
                <a:bodyPr rot="0" spcFirstLastPara="1" vertOverflow="ellipsis" vert="horz" wrap="square" lIns="38100" tIns="19050" rIns="38100" bIns="19050" anchor="ctr" anchorCtr="0">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2FE3-4E7D-B868-421018D57A6E}"/>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2FE3-4E7D-B868-421018D57A6E}"/>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2FE3-4E7D-B868-421018D57A6E}"/>
                </c:ext>
              </c:extLst>
            </c:dLbl>
            <c:dLbl>
              <c:idx val="4"/>
              <c:layout>
                <c:manualLayout>
                  <c:x val="0.14090619846651042"/>
                  <c:y val="7.2876005245646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FE3-4E7D-B868-421018D57A6E}"/>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2FE3-4E7D-B868-421018D57A6E}"/>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2FE3-4E7D-B868-421018D57A6E}"/>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F-2FE3-4E7D-B868-421018D57A6E}"/>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2FE3-4E7D-B868-421018D57A6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grafikler!$A$463:$A$467</c:f>
              <c:strCache>
                <c:ptCount val="5"/>
                <c:pt idx="0">
                  <c:v>Kesinlikle katılmıyorum</c:v>
                </c:pt>
                <c:pt idx="1">
                  <c:v>Katılmıyorum</c:v>
                </c:pt>
                <c:pt idx="2">
                  <c:v>Kararsız / Tarafsız</c:v>
                </c:pt>
                <c:pt idx="3">
                  <c:v>Katılıyorum</c:v>
                </c:pt>
                <c:pt idx="4">
                  <c:v>Kesinlikle katılıyorum</c:v>
                </c:pt>
              </c:strCache>
            </c:strRef>
          </c:cat>
          <c:val>
            <c:numRef>
              <c:f>grafikler!$B$463:$B$467</c:f>
              <c:numCache>
                <c:formatCode>General</c:formatCode>
                <c:ptCount val="5"/>
                <c:pt idx="0">
                  <c:v>1</c:v>
                </c:pt>
                <c:pt idx="1">
                  <c:v>0</c:v>
                </c:pt>
                <c:pt idx="2">
                  <c:v>6</c:v>
                </c:pt>
                <c:pt idx="3">
                  <c:v>13</c:v>
                </c:pt>
                <c:pt idx="4">
                  <c:v>24</c:v>
                </c:pt>
              </c:numCache>
            </c:numRef>
          </c:val>
          <c:extLst>
            <c:ext xmlns:c16="http://schemas.microsoft.com/office/drawing/2014/chart" uri="{C3380CC4-5D6E-409C-BE32-E72D297353CC}">
              <c16:uniqueId val="{00000012-2FE3-4E7D-B868-421018D57A6E}"/>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SEKTÖREL</a:t>
            </a:r>
            <a:r>
              <a:rPr lang="en-US" baseline="0"/>
              <a:t> İŞ GÜVENCESİ ALGISI</a:t>
            </a:r>
            <a:endParaRPr lang="en-US"/>
          </a:p>
        </c:rich>
      </c:tx>
      <c:layout>
        <c:manualLayout>
          <c:xMode val="edge"/>
          <c:yMode val="edge"/>
          <c:x val="0.21514622047003112"/>
          <c:y val="3.4382216347749593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1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BC9-4383-92B3-180786AAAE49}"/>
              </c:ext>
            </c:extLst>
          </c:dPt>
          <c:dPt>
            <c:idx val="1"/>
            <c:bubble3D val="0"/>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BC9-4383-92B3-180786AAAE49}"/>
              </c:ext>
            </c:extLst>
          </c:dPt>
          <c:dPt>
            <c:idx val="2"/>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BC9-4383-92B3-180786AAAE49}"/>
              </c:ext>
            </c:extLst>
          </c:dPt>
          <c:dPt>
            <c:idx val="3"/>
            <c:bubble3D val="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4BC9-4383-92B3-180786AAAE49}"/>
              </c:ext>
            </c:extLst>
          </c:dPt>
          <c:dPt>
            <c:idx val="4"/>
            <c:bubble3D val="0"/>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4BC9-4383-92B3-180786AAAE49}"/>
              </c:ext>
            </c:extLst>
          </c:dPt>
          <c:dPt>
            <c:idx val="5"/>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4BC9-4383-92B3-180786AAAE49}"/>
              </c:ext>
            </c:extLst>
          </c:dPt>
          <c:dPt>
            <c:idx val="6"/>
            <c:bubble3D val="0"/>
            <c:spPr>
              <a:solidFill>
                <a:schemeClr val="accent1">
                  <a:tint val="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4BC9-4383-92B3-180786AAAE49}"/>
              </c:ext>
            </c:extLst>
          </c:dPt>
          <c:dPt>
            <c:idx val="7"/>
            <c:bubble3D val="0"/>
            <c:spPr>
              <a:solidFill>
                <a:schemeClr val="accent1">
                  <a:tint val="8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4BC9-4383-92B3-180786AAAE49}"/>
              </c:ext>
            </c:extLst>
          </c:dPt>
          <c:dPt>
            <c:idx val="8"/>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4BC9-4383-92B3-180786AAAE4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1-4BC9-4383-92B3-180786AAAE49}"/>
                </c:ext>
              </c:extLst>
            </c:dLbl>
            <c:dLbl>
              <c:idx val="1"/>
              <c:spPr>
                <a:noFill/>
                <a:ln>
                  <a:noFill/>
                </a:ln>
                <a:effectLst/>
              </c:spPr>
              <c:txPr>
                <a:bodyPr rot="0" spcFirstLastPara="1" vertOverflow="ellipsis" vert="horz" wrap="square" lIns="38100" tIns="19050" rIns="38100" bIns="19050" anchor="ctr" anchorCtr="0">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4BC9-4383-92B3-180786AAAE49}"/>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4BC9-4383-92B3-180786AAAE49}"/>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4BC9-4383-92B3-180786AAAE49}"/>
                </c:ext>
              </c:extLst>
            </c:dLbl>
            <c:dLbl>
              <c:idx val="4"/>
              <c:layout>
                <c:manualLayout>
                  <c:x val="0.14090619846651042"/>
                  <c:y val="7.2876005245646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4BC9-4383-92B3-180786AAAE49}"/>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4BC9-4383-92B3-180786AAAE49}"/>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4BC9-4383-92B3-180786AAAE49}"/>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F-4BC9-4383-92B3-180786AAAE49}"/>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4BC9-4383-92B3-180786AAAE4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grafikler!$A$489:$A$493</c:f>
              <c:strCache>
                <c:ptCount val="5"/>
                <c:pt idx="0">
                  <c:v>Kesinlikle katılmıyorum</c:v>
                </c:pt>
                <c:pt idx="1">
                  <c:v>Katılmıyorum</c:v>
                </c:pt>
                <c:pt idx="2">
                  <c:v>Kararsız / Tarafsız</c:v>
                </c:pt>
                <c:pt idx="3">
                  <c:v>Katılıyorum</c:v>
                </c:pt>
                <c:pt idx="4">
                  <c:v>Kesinlikle katılıyorum</c:v>
                </c:pt>
              </c:strCache>
            </c:strRef>
          </c:cat>
          <c:val>
            <c:numRef>
              <c:f>grafikler!$B$489:$B$493</c:f>
              <c:numCache>
                <c:formatCode>General</c:formatCode>
                <c:ptCount val="5"/>
                <c:pt idx="0">
                  <c:v>2</c:v>
                </c:pt>
                <c:pt idx="1">
                  <c:v>6</c:v>
                </c:pt>
                <c:pt idx="2">
                  <c:v>13</c:v>
                </c:pt>
                <c:pt idx="3">
                  <c:v>10</c:v>
                </c:pt>
                <c:pt idx="4">
                  <c:v>13</c:v>
                </c:pt>
              </c:numCache>
            </c:numRef>
          </c:val>
          <c:extLst>
            <c:ext xmlns:c16="http://schemas.microsoft.com/office/drawing/2014/chart" uri="{C3380CC4-5D6E-409C-BE32-E72D297353CC}">
              <c16:uniqueId val="{00000012-4BC9-4383-92B3-180786AAAE49}"/>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SEKTÖREL</a:t>
            </a:r>
            <a:r>
              <a:rPr lang="en-US" baseline="0"/>
              <a:t> BAĞLILIĞI ETKİLEYEN FAKTÖRLER</a:t>
            </a:r>
            <a:endParaRPr lang="en-US"/>
          </a:p>
        </c:rich>
      </c:tx>
      <c:layout>
        <c:manualLayout>
          <c:xMode val="edge"/>
          <c:yMode val="edge"/>
          <c:x val="0.21514622047003112"/>
          <c:y val="3.4382216347749593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a:outerShdw blurRad="63500" sx="102000" sy="102000" algn="ctr" rotWithShape="0">
                <a:prstClr val="black">
                  <a:alpha val="20000"/>
                </a:prstClr>
              </a:outerShdw>
            </a:effectLst>
          </c:spPr>
          <c:invertIfNegative val="0"/>
          <c:dPt>
            <c:idx val="0"/>
            <c:invertIfNegative val="0"/>
            <c:bubble3D val="0"/>
            <c:spPr>
              <a:solidFill>
                <a:schemeClr val="accent1">
                  <a:shade val="5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42C7-4945-B264-A57CA8AAB388}"/>
              </c:ext>
            </c:extLst>
          </c:dPt>
          <c:dPt>
            <c:idx val="1"/>
            <c:invertIfNegative val="0"/>
            <c:bubble3D val="0"/>
            <c:spPr>
              <a:solidFill>
                <a:schemeClr val="accent1">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42C7-4945-B264-A57CA8AAB388}"/>
              </c:ext>
            </c:extLst>
          </c:dPt>
          <c:dPt>
            <c:idx val="2"/>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42C7-4945-B264-A57CA8AAB388}"/>
              </c:ext>
            </c:extLst>
          </c:dPt>
          <c:dPt>
            <c:idx val="3"/>
            <c:invertIfNegative val="0"/>
            <c:bubble3D val="0"/>
            <c:spPr>
              <a:solidFill>
                <a:schemeClr val="accent1">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42C7-4945-B264-A57CA8AAB388}"/>
              </c:ext>
            </c:extLst>
          </c:dPt>
          <c:dPt>
            <c:idx val="4"/>
            <c:invertIfNegative val="0"/>
            <c:bubble3D val="0"/>
            <c:spPr>
              <a:solidFill>
                <a:schemeClr val="accent1">
                  <a:tint val="5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42C7-4945-B264-A57CA8AAB388}"/>
              </c:ext>
            </c:extLst>
          </c:dPt>
          <c:dPt>
            <c:idx val="5"/>
            <c:invertIfNegative val="0"/>
            <c:bubble3D val="0"/>
            <c:spPr>
              <a:solidFill>
                <a:schemeClr val="accent1">
                  <a:tint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42C7-4945-B264-A57CA8AAB388}"/>
              </c:ext>
            </c:extLst>
          </c:dPt>
          <c:dPt>
            <c:idx val="6"/>
            <c:invertIfNegative val="0"/>
            <c:bubble3D val="0"/>
            <c:spPr>
              <a:solidFill>
                <a:schemeClr val="accent1">
                  <a:tint val="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42C7-4945-B264-A57CA8AAB388}"/>
              </c:ext>
            </c:extLst>
          </c:dPt>
          <c:dPt>
            <c:idx val="7"/>
            <c:invertIfNegative val="0"/>
            <c:bubble3D val="0"/>
            <c:spPr>
              <a:solidFill>
                <a:schemeClr val="accent1">
                  <a:tint val="8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42C7-4945-B264-A57CA8AAB388}"/>
              </c:ext>
            </c:extLst>
          </c:dPt>
          <c:dPt>
            <c:idx val="8"/>
            <c:invertIfNegative val="0"/>
            <c:bubble3D val="0"/>
            <c:spPr>
              <a:solidFill>
                <a:schemeClr val="accent1">
                  <a:tint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42C7-4945-B264-A57CA8AAB388}"/>
              </c:ext>
            </c:extLst>
          </c:dPt>
          <c:cat>
            <c:strRef>
              <c:f>grafikler!$A$511:$A$524</c:f>
              <c:strCache>
                <c:ptCount val="14"/>
                <c:pt idx="0">
                  <c:v>Çalışıtığm firmanın uzun vadeli yatuırımlar yaparak geleceği garanti altına laması ve maaş ve yan haklarını sağlaması</c:v>
                </c:pt>
                <c:pt idx="1">
                  <c:v>Dünya dışı kaynaktan gelen enerjinin elektriksel dönüşümündeki gelişim.</c:v>
                </c:pt>
                <c:pt idx="2">
                  <c:v>İlk hedef alacağım diğer proje ve ya görevin şuan yürütmekte olan görevimden bilgi ve tecrübemi üst seviyeye çıkartması ikincil hedef maaş ve yan haklar  </c:v>
                </c:pt>
                <c:pt idx="3">
                  <c:v>İş güvencesi eksikliği (işin sürekli olmaması, sözleşmelerin proje bazlı olması)</c:v>
                </c:pt>
                <c:pt idx="4">
                  <c:v>İş Güvenliği Uygulamalarının Her gün Daha da Benimsenmesi</c:v>
                </c:pt>
                <c:pt idx="5">
                  <c:v>Maaş ve yan hakların diğer sektörlerin gerisinde kalması</c:v>
                </c:pt>
                <c:pt idx="6">
                  <c:v>Meslekî gelişim olanaklarının kısıtlı olması</c:v>
                </c:pt>
                <c:pt idx="7">
                  <c:v>Politikalar sebebiyle sektörün sürdürülebilirliğine inancım yok</c:v>
                </c:pt>
                <c:pt idx="8">
                  <c:v>Sektördeki teknolojik değişim hızına ayak uyduramama endişesi</c:v>
                </c:pt>
                <c:pt idx="9">
                  <c:v>Sektörün teorik içeriği, üretim imkanları</c:v>
                </c:pt>
                <c:pt idx="10">
                  <c:v>Soru ve cevaplar uyuşmuyor</c:v>
                </c:pt>
                <c:pt idx="11">
                  <c:v>Taşeron sisteminden kaynaklı belirsizlikler</c:v>
                </c:pt>
                <c:pt idx="12">
                  <c:v>Yan hakların (sağlık sigortası, yol/yemek, ikramiye vb.) çeşitliliği</c:v>
                </c:pt>
                <c:pt idx="13">
                  <c:v>Yenilenebilir Enerji'nin çevreye ve insanlara faydalı olduğu için</c:v>
                </c:pt>
              </c:strCache>
            </c:strRef>
          </c:cat>
          <c:val>
            <c:numRef>
              <c:f>grafikler!$B$511:$B$524</c:f>
              <c:numCache>
                <c:formatCode>General</c:formatCode>
                <c:ptCount val="14"/>
                <c:pt idx="0">
                  <c:v>1</c:v>
                </c:pt>
                <c:pt idx="1">
                  <c:v>1</c:v>
                </c:pt>
                <c:pt idx="2">
                  <c:v>1</c:v>
                </c:pt>
                <c:pt idx="3">
                  <c:v>7</c:v>
                </c:pt>
                <c:pt idx="4">
                  <c:v>1</c:v>
                </c:pt>
                <c:pt idx="5">
                  <c:v>14</c:v>
                </c:pt>
                <c:pt idx="6">
                  <c:v>5</c:v>
                </c:pt>
                <c:pt idx="7">
                  <c:v>1</c:v>
                </c:pt>
                <c:pt idx="8">
                  <c:v>4</c:v>
                </c:pt>
                <c:pt idx="9">
                  <c:v>1</c:v>
                </c:pt>
                <c:pt idx="10">
                  <c:v>1</c:v>
                </c:pt>
                <c:pt idx="11">
                  <c:v>1</c:v>
                </c:pt>
                <c:pt idx="12">
                  <c:v>4</c:v>
                </c:pt>
                <c:pt idx="13">
                  <c:v>1</c:v>
                </c:pt>
              </c:numCache>
            </c:numRef>
          </c:val>
          <c:extLst>
            <c:ext xmlns:c16="http://schemas.microsoft.com/office/drawing/2014/chart" uri="{C3380CC4-5D6E-409C-BE32-E72D297353CC}">
              <c16:uniqueId val="{00000012-42C7-4945-B264-A57CA8AAB388}"/>
            </c:ext>
          </c:extLst>
        </c:ser>
        <c:dLbls>
          <c:showLegendKey val="0"/>
          <c:showVal val="0"/>
          <c:showCatName val="0"/>
          <c:showSerName val="0"/>
          <c:showPercent val="0"/>
          <c:showBubbleSize val="0"/>
        </c:dLbls>
        <c:gapWidth val="100"/>
        <c:axId val="1900169391"/>
        <c:axId val="1900168975"/>
      </c:barChart>
      <c:valAx>
        <c:axId val="1900168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169391"/>
        <c:crosses val="autoZero"/>
        <c:crossBetween val="between"/>
      </c:valAx>
      <c:catAx>
        <c:axId val="190016939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16897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5 Yıllık SEKTÖREL</a:t>
            </a:r>
            <a:r>
              <a:rPr lang="en-US" baseline="0"/>
              <a:t> SÜREKLİLİK</a:t>
            </a:r>
            <a:endParaRPr lang="en-US"/>
          </a:p>
        </c:rich>
      </c:tx>
      <c:layout>
        <c:manualLayout>
          <c:xMode val="edge"/>
          <c:yMode val="edge"/>
          <c:x val="0.21514622047003112"/>
          <c:y val="3.4382216347749593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a:outerShdw blurRad="63500" sx="102000" sy="102000" algn="ctr" rotWithShape="0">
                <a:prstClr val="black">
                  <a:alpha val="20000"/>
                </a:prstClr>
              </a:outerShdw>
            </a:effectLst>
          </c:spPr>
          <c:invertIfNegative val="0"/>
          <c:dPt>
            <c:idx val="0"/>
            <c:invertIfNegative val="0"/>
            <c:bubble3D val="0"/>
            <c:spPr>
              <a:solidFill>
                <a:schemeClr val="accent1">
                  <a:shade val="5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4CD6-437C-BD54-55F34A57FC98}"/>
              </c:ext>
            </c:extLst>
          </c:dPt>
          <c:dPt>
            <c:idx val="1"/>
            <c:invertIfNegative val="0"/>
            <c:bubble3D val="0"/>
            <c:spPr>
              <a:solidFill>
                <a:schemeClr val="accent1">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4CD6-437C-BD54-55F34A57FC98}"/>
              </c:ext>
            </c:extLst>
          </c:dPt>
          <c:dPt>
            <c:idx val="2"/>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4CD6-437C-BD54-55F34A57FC98}"/>
              </c:ext>
            </c:extLst>
          </c:dPt>
          <c:dPt>
            <c:idx val="3"/>
            <c:invertIfNegative val="0"/>
            <c:bubble3D val="0"/>
            <c:spPr>
              <a:solidFill>
                <a:schemeClr val="accent1">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4CD6-437C-BD54-55F34A57FC98}"/>
              </c:ext>
            </c:extLst>
          </c:dPt>
          <c:dPt>
            <c:idx val="4"/>
            <c:invertIfNegative val="0"/>
            <c:bubble3D val="0"/>
            <c:spPr>
              <a:solidFill>
                <a:schemeClr val="accent1">
                  <a:tint val="5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4CD6-437C-BD54-55F34A57FC98}"/>
              </c:ext>
            </c:extLst>
          </c:dPt>
          <c:dPt>
            <c:idx val="5"/>
            <c:invertIfNegative val="0"/>
            <c:bubble3D val="0"/>
            <c:spPr>
              <a:solidFill>
                <a:schemeClr val="accent1">
                  <a:tint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4CD6-437C-BD54-55F34A57FC98}"/>
              </c:ext>
            </c:extLst>
          </c:dPt>
          <c:dPt>
            <c:idx val="6"/>
            <c:invertIfNegative val="0"/>
            <c:bubble3D val="0"/>
            <c:spPr>
              <a:solidFill>
                <a:schemeClr val="accent1">
                  <a:tint val="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4CD6-437C-BD54-55F34A57FC98}"/>
              </c:ext>
            </c:extLst>
          </c:dPt>
          <c:dPt>
            <c:idx val="7"/>
            <c:invertIfNegative val="0"/>
            <c:bubble3D val="0"/>
            <c:spPr>
              <a:solidFill>
                <a:schemeClr val="accent1">
                  <a:tint val="8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4CD6-437C-BD54-55F34A57FC98}"/>
              </c:ext>
            </c:extLst>
          </c:dPt>
          <c:dPt>
            <c:idx val="8"/>
            <c:invertIfNegative val="0"/>
            <c:bubble3D val="0"/>
            <c:spPr>
              <a:solidFill>
                <a:schemeClr val="accent1">
                  <a:tint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4CD6-437C-BD54-55F34A57FC98}"/>
              </c:ext>
            </c:extLst>
          </c:dPt>
          <c:cat>
            <c:strRef>
              <c:f>grafikler!$A$537:$A$540</c:f>
              <c:strCache>
                <c:ptCount val="4"/>
                <c:pt idx="0">
                  <c:v>Güneş enerjisi sektörü dışındaki farklı bir alana veya sektöre geçiş yapmak.</c:v>
                </c:pt>
                <c:pt idx="1">
                  <c:v>Güneş enerjisi sektöründe kalarak, mevcut rolümde uzmanlaşmaya devam etmek.</c:v>
                </c:pt>
                <c:pt idx="2">
                  <c:v>Güneş enerjisi sektöründe kalarak, yeni teknolojilere ve uzmanlık alanlarına yönelmek.</c:v>
                </c:pt>
                <c:pt idx="3">
                  <c:v>Güneş enerjisi sektöründe kalarak, yönetimsel (ekip lideri, şef, müdür vb.) sorumluluklar üstlenmek.</c:v>
                </c:pt>
              </c:strCache>
            </c:strRef>
          </c:cat>
          <c:val>
            <c:numRef>
              <c:f>grafikler!$B$537:$B$540</c:f>
              <c:numCache>
                <c:formatCode>General</c:formatCode>
                <c:ptCount val="4"/>
                <c:pt idx="0">
                  <c:v>7</c:v>
                </c:pt>
                <c:pt idx="1">
                  <c:v>9</c:v>
                </c:pt>
                <c:pt idx="2">
                  <c:v>11</c:v>
                </c:pt>
                <c:pt idx="3">
                  <c:v>16</c:v>
                </c:pt>
              </c:numCache>
            </c:numRef>
          </c:val>
          <c:extLst>
            <c:ext xmlns:c16="http://schemas.microsoft.com/office/drawing/2014/chart" uri="{C3380CC4-5D6E-409C-BE32-E72D297353CC}">
              <c16:uniqueId val="{00000012-4CD6-437C-BD54-55F34A57FC98}"/>
            </c:ext>
          </c:extLst>
        </c:ser>
        <c:dLbls>
          <c:showLegendKey val="0"/>
          <c:showVal val="0"/>
          <c:showCatName val="0"/>
          <c:showSerName val="0"/>
          <c:showPercent val="0"/>
          <c:showBubbleSize val="0"/>
        </c:dLbls>
        <c:gapWidth val="100"/>
        <c:axId val="1900169391"/>
        <c:axId val="1900168975"/>
      </c:barChart>
      <c:valAx>
        <c:axId val="1900168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169391"/>
        <c:crosses val="autoZero"/>
        <c:crossBetween val="between"/>
      </c:valAx>
      <c:catAx>
        <c:axId val="190016939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16897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MESLEKİ</a:t>
            </a:r>
            <a:r>
              <a:rPr lang="en-US" baseline="0"/>
              <a:t> GELİŞİM </a:t>
            </a:r>
            <a:r>
              <a:rPr lang="en-US"/>
              <a:t>MOTİVASYONU</a:t>
            </a:r>
          </a:p>
        </c:rich>
      </c:tx>
      <c:layout>
        <c:manualLayout>
          <c:xMode val="edge"/>
          <c:yMode val="edge"/>
          <c:x val="0.21514622047003112"/>
          <c:y val="3.4382216347749593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1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716-4172-91C8-3FB8C8F640A7}"/>
              </c:ext>
            </c:extLst>
          </c:dPt>
          <c:dPt>
            <c:idx val="1"/>
            <c:bubble3D val="0"/>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716-4172-91C8-3FB8C8F640A7}"/>
              </c:ext>
            </c:extLst>
          </c:dPt>
          <c:dPt>
            <c:idx val="2"/>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716-4172-91C8-3FB8C8F640A7}"/>
              </c:ext>
            </c:extLst>
          </c:dPt>
          <c:dPt>
            <c:idx val="3"/>
            <c:bubble3D val="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716-4172-91C8-3FB8C8F640A7}"/>
              </c:ext>
            </c:extLst>
          </c:dPt>
          <c:dPt>
            <c:idx val="4"/>
            <c:bubble3D val="0"/>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0716-4172-91C8-3FB8C8F640A7}"/>
              </c:ext>
            </c:extLst>
          </c:dPt>
          <c:dPt>
            <c:idx val="5"/>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0716-4172-91C8-3FB8C8F640A7}"/>
              </c:ext>
            </c:extLst>
          </c:dPt>
          <c:dPt>
            <c:idx val="6"/>
            <c:bubble3D val="0"/>
            <c:spPr>
              <a:solidFill>
                <a:schemeClr val="accent1">
                  <a:tint val="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0716-4172-91C8-3FB8C8F640A7}"/>
              </c:ext>
            </c:extLst>
          </c:dPt>
          <c:dPt>
            <c:idx val="7"/>
            <c:bubble3D val="0"/>
            <c:spPr>
              <a:solidFill>
                <a:schemeClr val="accent1">
                  <a:tint val="8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0716-4172-91C8-3FB8C8F640A7}"/>
              </c:ext>
            </c:extLst>
          </c:dPt>
          <c:dPt>
            <c:idx val="8"/>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0716-4172-91C8-3FB8C8F640A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1-0716-4172-91C8-3FB8C8F640A7}"/>
                </c:ext>
              </c:extLst>
            </c:dLbl>
            <c:dLbl>
              <c:idx val="1"/>
              <c:spPr>
                <a:noFill/>
                <a:ln>
                  <a:noFill/>
                </a:ln>
                <a:effectLst/>
              </c:spPr>
              <c:txPr>
                <a:bodyPr rot="0" spcFirstLastPara="1" vertOverflow="ellipsis" vert="horz" wrap="square" lIns="38100" tIns="19050" rIns="38100" bIns="19050" anchor="ctr" anchorCtr="0">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0716-4172-91C8-3FB8C8F640A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0716-4172-91C8-3FB8C8F640A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0716-4172-91C8-3FB8C8F640A7}"/>
                </c:ext>
              </c:extLst>
            </c:dLbl>
            <c:dLbl>
              <c:idx val="4"/>
              <c:layout>
                <c:manualLayout>
                  <c:x val="0.14090619846651042"/>
                  <c:y val="7.2876005245646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716-4172-91C8-3FB8C8F640A7}"/>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0716-4172-91C8-3FB8C8F640A7}"/>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0716-4172-91C8-3FB8C8F640A7}"/>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F-0716-4172-91C8-3FB8C8F640A7}"/>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0716-4172-91C8-3FB8C8F640A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grafikler!$A$558:$A$562</c:f>
              <c:strCache>
                <c:ptCount val="5"/>
                <c:pt idx="0">
                  <c:v>Kesinlikle katılmıyorum</c:v>
                </c:pt>
                <c:pt idx="1">
                  <c:v>Katılmıyorum</c:v>
                </c:pt>
                <c:pt idx="2">
                  <c:v>Kararsız / Tarafsız</c:v>
                </c:pt>
                <c:pt idx="3">
                  <c:v>Katılıyorum</c:v>
                </c:pt>
                <c:pt idx="4">
                  <c:v>Kesinlikle katılıyorum</c:v>
                </c:pt>
              </c:strCache>
            </c:strRef>
          </c:cat>
          <c:val>
            <c:numRef>
              <c:f>grafikler!$B$558:$B$562</c:f>
              <c:numCache>
                <c:formatCode>General</c:formatCode>
                <c:ptCount val="5"/>
                <c:pt idx="0">
                  <c:v>1</c:v>
                </c:pt>
                <c:pt idx="1">
                  <c:v>3</c:v>
                </c:pt>
                <c:pt idx="2">
                  <c:v>4</c:v>
                </c:pt>
                <c:pt idx="3">
                  <c:v>14</c:v>
                </c:pt>
                <c:pt idx="4">
                  <c:v>22</c:v>
                </c:pt>
              </c:numCache>
            </c:numRef>
          </c:val>
          <c:extLst>
            <c:ext xmlns:c16="http://schemas.microsoft.com/office/drawing/2014/chart" uri="{C3380CC4-5D6E-409C-BE32-E72D297353CC}">
              <c16:uniqueId val="{00000012-0716-4172-91C8-3FB8C8F640A7}"/>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ÇALIŞAN SERTİFİKA DAĞILIMI</a:t>
            </a:r>
          </a:p>
        </c:rich>
      </c:tx>
      <c:layout>
        <c:manualLayout>
          <c:xMode val="edge"/>
          <c:yMode val="edge"/>
          <c:x val="0.21514622047003112"/>
          <c:y val="3.4382216347749593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a:outerShdw blurRad="63500" sx="102000" sy="102000" algn="ctr" rotWithShape="0">
                <a:prstClr val="black">
                  <a:alpha val="20000"/>
                </a:prstClr>
              </a:outerShdw>
            </a:effectLst>
          </c:spPr>
          <c:invertIfNegative val="0"/>
          <c:dPt>
            <c:idx val="0"/>
            <c:invertIfNegative val="0"/>
            <c:bubble3D val="0"/>
            <c:spPr>
              <a:solidFill>
                <a:schemeClr val="accent1">
                  <a:shade val="5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DA30-42D4-9F7D-276EEA63FFC6}"/>
              </c:ext>
            </c:extLst>
          </c:dPt>
          <c:dPt>
            <c:idx val="1"/>
            <c:invertIfNegative val="0"/>
            <c:bubble3D val="0"/>
            <c:spPr>
              <a:solidFill>
                <a:schemeClr val="accent1">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A30-42D4-9F7D-276EEA63FFC6}"/>
              </c:ext>
            </c:extLst>
          </c:dPt>
          <c:dPt>
            <c:idx val="2"/>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A30-42D4-9F7D-276EEA63FFC6}"/>
              </c:ext>
            </c:extLst>
          </c:dPt>
          <c:dPt>
            <c:idx val="3"/>
            <c:invertIfNegative val="0"/>
            <c:bubble3D val="0"/>
            <c:spPr>
              <a:solidFill>
                <a:schemeClr val="accent1">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DA30-42D4-9F7D-276EEA63FFC6}"/>
              </c:ext>
            </c:extLst>
          </c:dPt>
          <c:dPt>
            <c:idx val="4"/>
            <c:invertIfNegative val="0"/>
            <c:bubble3D val="0"/>
            <c:spPr>
              <a:solidFill>
                <a:schemeClr val="accent1">
                  <a:tint val="5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DA30-42D4-9F7D-276EEA63FFC6}"/>
              </c:ext>
            </c:extLst>
          </c:dPt>
          <c:dPt>
            <c:idx val="5"/>
            <c:invertIfNegative val="0"/>
            <c:bubble3D val="0"/>
            <c:spPr>
              <a:solidFill>
                <a:schemeClr val="accent1">
                  <a:tint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DA30-42D4-9F7D-276EEA63FFC6}"/>
              </c:ext>
            </c:extLst>
          </c:dPt>
          <c:dPt>
            <c:idx val="6"/>
            <c:invertIfNegative val="0"/>
            <c:bubble3D val="0"/>
            <c:spPr>
              <a:solidFill>
                <a:schemeClr val="accent1">
                  <a:tint val="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DA30-42D4-9F7D-276EEA63FFC6}"/>
              </c:ext>
            </c:extLst>
          </c:dPt>
          <c:dPt>
            <c:idx val="7"/>
            <c:invertIfNegative val="0"/>
            <c:bubble3D val="0"/>
            <c:spPr>
              <a:solidFill>
                <a:schemeClr val="accent1">
                  <a:tint val="8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DA30-42D4-9F7D-276EEA63FFC6}"/>
              </c:ext>
            </c:extLst>
          </c:dPt>
          <c:dPt>
            <c:idx val="8"/>
            <c:invertIfNegative val="0"/>
            <c:bubble3D val="0"/>
            <c:spPr>
              <a:solidFill>
                <a:schemeClr val="accent1">
                  <a:tint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DA30-42D4-9F7D-276EEA63FFC6}"/>
              </c:ext>
            </c:extLst>
          </c:dPt>
          <c:cat>
            <c:strRef>
              <c:f>grafikler!$A$339:$A$352</c:f>
              <c:strCache>
                <c:ptCount val="14"/>
                <c:pt idx="0">
                  <c:v>Diksiyon, Proje Yöneticiliği</c:v>
                </c:pt>
                <c:pt idx="1">
                  <c:v>İş Sağlığı ve Güvenliği (İSG) Sertifikaları</c:v>
                </c:pt>
                <c:pt idx="2">
                  <c:v>İş Sağlığı ve Güvenliği (İSG) Sertifikaları, </c:v>
                </c:pt>
                <c:pt idx="3">
                  <c:v>İş Sağlığı ve Güvenliği (İSG) Sertifikaları, Soft Skill eğitim sertifikaları</c:v>
                </c:pt>
                <c:pt idx="4">
                  <c:v>İş Sağlığı ve Güvenliği (İSG) Sertifikaları, Üretici Odaklı Teknik Eğitim Sertifikaları</c:v>
                </c:pt>
                <c:pt idx="5">
                  <c:v>İş Sağlığı ve Güvenliği (İSG) Sertifikaları, Ustalık Belgesi</c:v>
                </c:pt>
                <c:pt idx="6">
                  <c:v>İş Sağlığı ve Güvenliği (İSG) Sertifikaları, Ustalık Belgesi, Ges kurulum kursu</c:v>
                </c:pt>
                <c:pt idx="7">
                  <c:v>Mühendislik diploması</c:v>
                </c:pt>
                <c:pt idx="8">
                  <c:v>MYK (Mesleki Yeterlilik Kurumu)  Fotovoltaik Güç Sistemleri Personeli</c:v>
                </c:pt>
                <c:pt idx="9">
                  <c:v>MYK (Mesleki Yeterlilik Kurumu)  Fotovoltaik Güç Sistemleri Personeli, (MYK) Güneş Isıl Sistem Personeli, İş Sağlığı ve Güvenliği (İSG) Sertifikaları, Ustalık Belgesi</c:v>
                </c:pt>
                <c:pt idx="10">
                  <c:v>Sertifikam bulunmuyor.</c:v>
                </c:pt>
                <c:pt idx="11">
                  <c:v>Üretici Odaklı Teknik Eğitim Sertifikaları</c:v>
                </c:pt>
                <c:pt idx="12">
                  <c:v>Yüksek Gerilim / EKAT Belgesi</c:v>
                </c:pt>
                <c:pt idx="13">
                  <c:v>Yüksek Gerilim / EKAT Belgesi, İş Sağlığı ve Güvenliği (İSG) Sertifikaları</c:v>
                </c:pt>
              </c:strCache>
            </c:strRef>
          </c:cat>
          <c:val>
            <c:numRef>
              <c:f>grafikler!$B$339:$B$352</c:f>
              <c:numCache>
                <c:formatCode>General</c:formatCode>
                <c:ptCount val="14"/>
                <c:pt idx="0">
                  <c:v>1</c:v>
                </c:pt>
                <c:pt idx="1">
                  <c:v>3</c:v>
                </c:pt>
                <c:pt idx="2">
                  <c:v>1</c:v>
                </c:pt>
                <c:pt idx="3">
                  <c:v>1</c:v>
                </c:pt>
                <c:pt idx="4">
                  <c:v>5</c:v>
                </c:pt>
                <c:pt idx="5">
                  <c:v>2</c:v>
                </c:pt>
                <c:pt idx="6">
                  <c:v>1</c:v>
                </c:pt>
                <c:pt idx="7">
                  <c:v>1</c:v>
                </c:pt>
                <c:pt idx="8">
                  <c:v>3</c:v>
                </c:pt>
                <c:pt idx="9">
                  <c:v>1</c:v>
                </c:pt>
                <c:pt idx="10">
                  <c:v>14</c:v>
                </c:pt>
                <c:pt idx="11">
                  <c:v>7</c:v>
                </c:pt>
                <c:pt idx="12">
                  <c:v>2</c:v>
                </c:pt>
                <c:pt idx="13">
                  <c:v>1</c:v>
                </c:pt>
              </c:numCache>
            </c:numRef>
          </c:val>
          <c:extLst>
            <c:ext xmlns:c16="http://schemas.microsoft.com/office/drawing/2014/chart" uri="{C3380CC4-5D6E-409C-BE32-E72D297353CC}">
              <c16:uniqueId val="{00000012-DA30-42D4-9F7D-276EEA63FFC6}"/>
            </c:ext>
          </c:extLst>
        </c:ser>
        <c:dLbls>
          <c:showLegendKey val="0"/>
          <c:showVal val="0"/>
          <c:showCatName val="0"/>
          <c:showSerName val="0"/>
          <c:showPercent val="0"/>
          <c:showBubbleSize val="0"/>
        </c:dLbls>
        <c:gapWidth val="100"/>
        <c:axId val="1900169391"/>
        <c:axId val="1900168975"/>
      </c:barChart>
      <c:valAx>
        <c:axId val="1900168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169391"/>
        <c:crosses val="autoZero"/>
        <c:crossBetween val="between"/>
      </c:valAx>
      <c:catAx>
        <c:axId val="190016939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16897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Şİrket Faalİyet Süresİ (yıl)</a:t>
            </a:r>
          </a:p>
        </c:rich>
      </c:tx>
      <c:layout>
        <c:manualLayout>
          <c:xMode val="edge"/>
          <c:yMode val="edge"/>
          <c:x val="0.13202700807437234"/>
          <c:y val="1.56488048269058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9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169-4667-B1EB-3D2FAE61D342}"/>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169-4667-B1EB-3D2FAE61D342}"/>
              </c:ext>
            </c:extLst>
          </c:dPt>
          <c:dPt>
            <c:idx val="2"/>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169-4667-B1EB-3D2FAE61D342}"/>
              </c:ext>
            </c:extLst>
          </c:dPt>
          <c:dPt>
            <c:idx val="3"/>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3169-4667-B1EB-3D2FAE61D342}"/>
              </c:ext>
            </c:extLst>
          </c:dPt>
          <c:dPt>
            <c:idx val="4"/>
            <c:bubble3D val="0"/>
            <c:spPr>
              <a:solidFill>
                <a:schemeClr val="accent1">
                  <a:tint val="9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3169-4667-B1EB-3D2FAE61D342}"/>
              </c:ext>
            </c:extLst>
          </c:dPt>
          <c:dPt>
            <c:idx val="5"/>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3169-4667-B1EB-3D2FAE61D342}"/>
              </c:ext>
            </c:extLst>
          </c:dPt>
          <c:dPt>
            <c:idx val="6"/>
            <c:bubble3D val="0"/>
            <c:spPr>
              <a:solidFill>
                <a:schemeClr val="accent1">
                  <a:tint val="2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3169-4667-B1EB-3D2FAE61D342}"/>
              </c:ext>
            </c:extLst>
          </c:dPt>
          <c:dPt>
            <c:idx val="7"/>
            <c:bubble3D val="0"/>
            <c:spPr>
              <a:solidFill>
                <a:schemeClr val="accent1">
                  <a:tint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3169-4667-B1EB-3D2FAE61D342}"/>
              </c:ext>
            </c:extLst>
          </c:dPt>
          <c:dPt>
            <c:idx val="8"/>
            <c:bubble3D val="0"/>
            <c:spPr>
              <a:solidFill>
                <a:schemeClr val="accent1">
                  <a:tint val="5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3169-4667-B1EB-3D2FAE61D342}"/>
              </c:ext>
            </c:extLst>
          </c:dPt>
          <c:dLbls>
            <c:dLbl>
              <c:idx val="0"/>
              <c:layout>
                <c:manualLayout>
                  <c:x val="-8.4927803914251563E-3"/>
                  <c:y val="-3.0675494584540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169-4667-B1EB-3D2FAE61D342}"/>
                </c:ext>
              </c:extLst>
            </c:dLbl>
            <c:dLbl>
              <c:idx val="1"/>
              <c:spPr>
                <a:noFill/>
                <a:ln>
                  <a:noFill/>
                </a:ln>
                <a:effectLst/>
              </c:spPr>
              <c:txPr>
                <a:bodyPr rot="0" spcFirstLastPara="1" vertOverflow="ellipsis" vert="horz" wrap="square" lIns="38100" tIns="19050" rIns="38100" bIns="19050" anchor="ctr" anchorCtr="0">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3169-4667-B1EB-3D2FAE61D34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3169-4667-B1EB-3D2FAE61D34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3169-4667-B1EB-3D2FAE61D34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3169-4667-B1EB-3D2FAE61D342}"/>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3169-4667-B1EB-3D2FAE61D342}"/>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3169-4667-B1EB-3D2FAE61D342}"/>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F-3169-4667-B1EB-3D2FAE61D342}"/>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3169-4667-B1EB-3D2FAE61D34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'işveren grafikler'!$A$2:$A$5</c:f>
              <c:strCache>
                <c:ptCount val="4"/>
                <c:pt idx="0">
                  <c:v>0 - 3</c:v>
                </c:pt>
                <c:pt idx="1">
                  <c:v>12 - 15 </c:v>
                </c:pt>
                <c:pt idx="2">
                  <c:v>4 - 7 </c:v>
                </c:pt>
                <c:pt idx="3">
                  <c:v>8 - 11 </c:v>
                </c:pt>
              </c:strCache>
            </c:strRef>
          </c:cat>
          <c:val>
            <c:numRef>
              <c:f>'işveren grafikler'!$B$2:$B$5</c:f>
              <c:numCache>
                <c:formatCode>General</c:formatCode>
                <c:ptCount val="4"/>
                <c:pt idx="0">
                  <c:v>1</c:v>
                </c:pt>
                <c:pt idx="1">
                  <c:v>6</c:v>
                </c:pt>
                <c:pt idx="2">
                  <c:v>7</c:v>
                </c:pt>
                <c:pt idx="3">
                  <c:v>6</c:v>
                </c:pt>
              </c:numCache>
            </c:numRef>
          </c:val>
          <c:extLst>
            <c:ext xmlns:c16="http://schemas.microsoft.com/office/drawing/2014/chart" uri="{C3380CC4-5D6E-409C-BE32-E72D297353CC}">
              <c16:uniqueId val="{00000012-3169-4667-B1EB-3D2FAE61D342}"/>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YURTDIŞI Faalİyet ORANI</a:t>
            </a:r>
          </a:p>
        </c:rich>
      </c:tx>
      <c:layout>
        <c:manualLayout>
          <c:xMode val="edge"/>
          <c:yMode val="edge"/>
          <c:x val="0.13202700807437234"/>
          <c:y val="1.56488048269058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9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BBAA-4646-B2ED-38349B78E9E7}"/>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BBAA-4646-B2ED-38349B78E9E7}"/>
              </c:ext>
            </c:extLst>
          </c:dPt>
          <c:dPt>
            <c:idx val="2"/>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BBAA-4646-B2ED-38349B78E9E7}"/>
              </c:ext>
            </c:extLst>
          </c:dPt>
          <c:dPt>
            <c:idx val="3"/>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BBAA-4646-B2ED-38349B78E9E7}"/>
              </c:ext>
            </c:extLst>
          </c:dPt>
          <c:dPt>
            <c:idx val="4"/>
            <c:bubble3D val="0"/>
            <c:spPr>
              <a:solidFill>
                <a:schemeClr val="accent1">
                  <a:tint val="9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BBAA-4646-B2ED-38349B78E9E7}"/>
              </c:ext>
            </c:extLst>
          </c:dPt>
          <c:dPt>
            <c:idx val="5"/>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BBAA-4646-B2ED-38349B78E9E7}"/>
              </c:ext>
            </c:extLst>
          </c:dPt>
          <c:dPt>
            <c:idx val="6"/>
            <c:bubble3D val="0"/>
            <c:spPr>
              <a:solidFill>
                <a:schemeClr val="accent1">
                  <a:tint val="2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BBAA-4646-B2ED-38349B78E9E7}"/>
              </c:ext>
            </c:extLst>
          </c:dPt>
          <c:dPt>
            <c:idx val="7"/>
            <c:bubble3D val="0"/>
            <c:spPr>
              <a:solidFill>
                <a:schemeClr val="accent1">
                  <a:tint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BBAA-4646-B2ED-38349B78E9E7}"/>
              </c:ext>
            </c:extLst>
          </c:dPt>
          <c:dPt>
            <c:idx val="8"/>
            <c:bubble3D val="0"/>
            <c:spPr>
              <a:solidFill>
                <a:schemeClr val="accent1">
                  <a:tint val="5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BBAA-4646-B2ED-38349B78E9E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1-BBAA-4646-B2ED-38349B78E9E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3-BBAA-4646-B2ED-38349B78E9E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5-BBAA-4646-B2ED-38349B78E9E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'işveren grafikler'!$A$17:$A$19</c:f>
              <c:strCache>
                <c:ptCount val="3"/>
                <c:pt idx="0">
                  <c:v>%20'den azı</c:v>
                </c:pt>
                <c:pt idx="1">
                  <c:v>%40 - %60 arası</c:v>
                </c:pt>
                <c:pt idx="2">
                  <c:v>%80'den fazlası</c:v>
                </c:pt>
              </c:strCache>
            </c:strRef>
          </c:cat>
          <c:val>
            <c:numRef>
              <c:f>'işveren grafikler'!$B$17:$B$19</c:f>
              <c:numCache>
                <c:formatCode>General</c:formatCode>
                <c:ptCount val="3"/>
                <c:pt idx="0">
                  <c:v>17</c:v>
                </c:pt>
                <c:pt idx="1">
                  <c:v>2</c:v>
                </c:pt>
                <c:pt idx="2">
                  <c:v>1</c:v>
                </c:pt>
              </c:numCache>
            </c:numRef>
          </c:val>
          <c:extLst>
            <c:ext xmlns:c16="http://schemas.microsoft.com/office/drawing/2014/chart" uri="{C3380CC4-5D6E-409C-BE32-E72D297353CC}">
              <c16:uniqueId val="{00000012-BBAA-4646-B2ED-38349B78E9E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EN ÇOK İSTİHDAM OLAN Faalİyet ALANI</a:t>
            </a:r>
          </a:p>
        </c:rich>
      </c:tx>
      <c:layout>
        <c:manualLayout>
          <c:xMode val="edge"/>
          <c:yMode val="edge"/>
          <c:x val="0.13202700807437234"/>
          <c:y val="1.56488048269058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9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9E7-4E03-BF80-84C8ED80348F}"/>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9E7-4E03-BF80-84C8ED80348F}"/>
              </c:ext>
            </c:extLst>
          </c:dPt>
          <c:dPt>
            <c:idx val="2"/>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69E7-4E03-BF80-84C8ED80348F}"/>
              </c:ext>
            </c:extLst>
          </c:dPt>
          <c:dPt>
            <c:idx val="3"/>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69E7-4E03-BF80-84C8ED80348F}"/>
              </c:ext>
            </c:extLst>
          </c:dPt>
          <c:dPt>
            <c:idx val="4"/>
            <c:bubble3D val="0"/>
            <c:spPr>
              <a:solidFill>
                <a:schemeClr val="accent1">
                  <a:tint val="9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69E7-4E03-BF80-84C8ED80348F}"/>
              </c:ext>
            </c:extLst>
          </c:dPt>
          <c:dPt>
            <c:idx val="5"/>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69E7-4E03-BF80-84C8ED80348F}"/>
              </c:ext>
            </c:extLst>
          </c:dPt>
          <c:dPt>
            <c:idx val="6"/>
            <c:bubble3D val="0"/>
            <c:spPr>
              <a:solidFill>
                <a:schemeClr val="accent1">
                  <a:tint val="2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69E7-4E03-BF80-84C8ED80348F}"/>
              </c:ext>
            </c:extLst>
          </c:dPt>
          <c:dPt>
            <c:idx val="7"/>
            <c:bubble3D val="0"/>
            <c:spPr>
              <a:solidFill>
                <a:schemeClr val="accent1">
                  <a:tint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69E7-4E03-BF80-84C8ED80348F}"/>
              </c:ext>
            </c:extLst>
          </c:dPt>
          <c:dPt>
            <c:idx val="8"/>
            <c:bubble3D val="0"/>
            <c:spPr>
              <a:solidFill>
                <a:schemeClr val="accent1">
                  <a:tint val="5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69E7-4E03-BF80-84C8ED80348F}"/>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1-69E7-4E03-BF80-84C8ED80348F}"/>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3-69E7-4E03-BF80-84C8ED80348F}"/>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5-69E7-4E03-BF80-84C8ED80348F}"/>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7-69E7-4E03-BF80-84C8ED80348F}"/>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9-69E7-4E03-BF80-84C8ED80348F}"/>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B-69E7-4E03-BF80-84C8ED80348F}"/>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D-69E7-4E03-BF80-84C8ED80348F}"/>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F-69E7-4E03-BF80-84C8ED80348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'işveren grafikler'!$A$31:$A$38</c:f>
              <c:strCache>
                <c:ptCount val="8"/>
                <c:pt idx="0">
                  <c:v>Hücre ve Panel Üretimi</c:v>
                </c:pt>
                <c:pt idx="1">
                  <c:v>Kurulum, Taahhüt, İnşaat, İşletme, Bakım ve Onarım</c:v>
                </c:pt>
                <c:pt idx="2">
                  <c:v>Mühendislik ve Teknik Müşavirlik</c:v>
                </c:pt>
                <c:pt idx="3">
                  <c:v>Güneş Santrali Sistem Bileşeni Üretimi (evirici, konstrüksiyon, kablolama, vb.)</c:v>
                </c:pt>
                <c:pt idx="4">
                  <c:v>Yazılım ve Dijitalleşme Hizmetleri</c:v>
                </c:pt>
                <c:pt idx="5">
                  <c:v>Güneş Santrali Hizmet Sağlayıcısı (temizlik, güvenlik, vb)</c:v>
                </c:pt>
                <c:pt idx="6">
                  <c:v>Güneş Santralı Yatırımcısı</c:v>
                </c:pt>
                <c:pt idx="7">
                  <c:v>Proje Geliştirme ve Danışmanlık</c:v>
                </c:pt>
              </c:strCache>
            </c:strRef>
          </c:cat>
          <c:val>
            <c:numRef>
              <c:f>'işveren grafikler'!$B$31:$B$38</c:f>
              <c:numCache>
                <c:formatCode>General</c:formatCode>
                <c:ptCount val="8"/>
                <c:pt idx="0">
                  <c:v>5</c:v>
                </c:pt>
                <c:pt idx="1">
                  <c:v>5</c:v>
                </c:pt>
                <c:pt idx="2">
                  <c:v>3</c:v>
                </c:pt>
                <c:pt idx="3">
                  <c:v>2</c:v>
                </c:pt>
                <c:pt idx="4">
                  <c:v>2</c:v>
                </c:pt>
                <c:pt idx="5">
                  <c:v>1</c:v>
                </c:pt>
                <c:pt idx="6">
                  <c:v>1</c:v>
                </c:pt>
                <c:pt idx="7">
                  <c:v>1</c:v>
                </c:pt>
              </c:numCache>
            </c:numRef>
          </c:val>
          <c:extLst>
            <c:ext xmlns:c16="http://schemas.microsoft.com/office/drawing/2014/chart" uri="{C3380CC4-5D6E-409C-BE32-E72D297353CC}">
              <c16:uniqueId val="{00000012-69E7-4E03-BF80-84C8ED80348F}"/>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5491721931705105"/>
          <c:y val="0.23569708922546495"/>
          <c:w val="0.32472654658625688"/>
          <c:h val="0.590949359867380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İŞVEREn</a:t>
            </a:r>
            <a:r>
              <a:rPr lang="en-US" baseline="0"/>
              <a:t> ANA FAALİYET ALANI</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a:outerShdw blurRad="63500" sx="102000" sy="102000" algn="ctr" rotWithShape="0">
                <a:prstClr val="black">
                  <a:alpha val="20000"/>
                </a:prstClr>
              </a:outerShdw>
            </a:effectLst>
          </c:spPr>
          <c:invertIfNegative val="0"/>
          <c:dPt>
            <c:idx val="0"/>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2586-4270-B74D-65DAD8ECFDA9}"/>
              </c:ext>
            </c:extLst>
          </c:dPt>
          <c:dPt>
            <c:idx val="1"/>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586-4270-B74D-65DAD8ECFDA9}"/>
              </c:ext>
            </c:extLst>
          </c:dPt>
          <c:dPt>
            <c:idx val="2"/>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586-4270-B74D-65DAD8ECFDA9}"/>
              </c:ext>
            </c:extLst>
          </c:dPt>
          <c:dPt>
            <c:idx val="3"/>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586-4270-B74D-65DAD8ECFDA9}"/>
              </c:ext>
            </c:extLst>
          </c:dPt>
          <c:dPt>
            <c:idx val="4"/>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2586-4270-B74D-65DAD8ECFDA9}"/>
              </c:ext>
            </c:extLst>
          </c:dPt>
          <c:dPt>
            <c:idx val="5"/>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2586-4270-B74D-65DAD8ECFDA9}"/>
              </c:ext>
            </c:extLst>
          </c:dPt>
          <c:dPt>
            <c:idx val="6"/>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2586-4270-B74D-65DAD8ECFDA9}"/>
              </c:ext>
            </c:extLst>
          </c:dPt>
          <c:dPt>
            <c:idx val="7"/>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2586-4270-B74D-65DAD8ECFDA9}"/>
              </c:ext>
            </c:extLst>
          </c:dPt>
          <c:dPt>
            <c:idx val="8"/>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2586-4270-B74D-65DAD8ECFDA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'işveren grafikler'!$A$31:$A$38</c:f>
              <c:strCache>
                <c:ptCount val="8"/>
                <c:pt idx="0">
                  <c:v>Hücre ve Panel Üretimi</c:v>
                </c:pt>
                <c:pt idx="1">
                  <c:v>Kurulum, Taahhüt, İnşaat, İşletme, Bakım ve Onarım</c:v>
                </c:pt>
                <c:pt idx="2">
                  <c:v>Mühendislik ve Teknik Müşavirlik</c:v>
                </c:pt>
                <c:pt idx="3">
                  <c:v>Güneş Santrali Sistem Bileşeni Üretimi (evirici, konstrüksiyon, kablolama, vb.)</c:v>
                </c:pt>
                <c:pt idx="4">
                  <c:v>Yazılım ve Dijitalleşme Hizmetleri</c:v>
                </c:pt>
                <c:pt idx="5">
                  <c:v>Güneş Santrali Hizmet Sağlayıcısı (temizlik, güvenlik, vb)</c:v>
                </c:pt>
                <c:pt idx="6">
                  <c:v>Güneş Santralı Yatırımcısı</c:v>
                </c:pt>
                <c:pt idx="7">
                  <c:v>Proje Geliştirme ve Danışmanlık</c:v>
                </c:pt>
              </c:strCache>
            </c:strRef>
          </c:cat>
          <c:val>
            <c:numRef>
              <c:f>'işveren grafikler'!$C$31:$C$38</c:f>
              <c:numCache>
                <c:formatCode>0%</c:formatCode>
                <c:ptCount val="8"/>
                <c:pt idx="0">
                  <c:v>0.25</c:v>
                </c:pt>
                <c:pt idx="1">
                  <c:v>0.25</c:v>
                </c:pt>
                <c:pt idx="2">
                  <c:v>0.15</c:v>
                </c:pt>
                <c:pt idx="3">
                  <c:v>0.1</c:v>
                </c:pt>
                <c:pt idx="4">
                  <c:v>0.1</c:v>
                </c:pt>
                <c:pt idx="5">
                  <c:v>0.05</c:v>
                </c:pt>
                <c:pt idx="6">
                  <c:v>0.05</c:v>
                </c:pt>
                <c:pt idx="7">
                  <c:v>0.05</c:v>
                </c:pt>
              </c:numCache>
            </c:numRef>
          </c:val>
          <c:extLst>
            <c:ext xmlns:c16="http://schemas.microsoft.com/office/drawing/2014/chart" uri="{C3380CC4-5D6E-409C-BE32-E72D297353CC}">
              <c16:uniqueId val="{00000012-2586-4270-B74D-65DAD8ECFDA9}"/>
            </c:ext>
          </c:extLst>
        </c:ser>
        <c:dLbls>
          <c:showLegendKey val="0"/>
          <c:showVal val="0"/>
          <c:showCatName val="0"/>
          <c:showSerName val="0"/>
          <c:showPercent val="0"/>
          <c:showBubbleSize val="0"/>
        </c:dLbls>
        <c:gapWidth val="100"/>
        <c:axId val="1845846303"/>
        <c:axId val="1845848799"/>
      </c:barChart>
      <c:valAx>
        <c:axId val="184584879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845846303"/>
        <c:crosses val="autoZero"/>
        <c:crossBetween val="between"/>
      </c:valAx>
      <c:catAx>
        <c:axId val="18458463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8487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cap="all" spc="0" baseline="0">
                <a:solidFill>
                  <a:sysClr val="windowText" lastClr="000000">
                    <a:lumMod val="65000"/>
                    <a:lumOff val="35000"/>
                  </a:sysClr>
                </a:solidFill>
                <a:latin typeface="+mn-lt"/>
                <a:ea typeface="+mn-ea"/>
                <a:cs typeface="+mn-cs"/>
              </a:defRPr>
            </a:pPr>
            <a:r>
              <a:rPr lang="en-US" sz="1600" b="1" i="0" u="none" strike="noStrike" kern="1200" cap="all" baseline="0">
                <a:solidFill>
                  <a:sysClr val="windowText" lastClr="000000">
                    <a:lumMod val="65000"/>
                    <a:lumOff val="35000"/>
                  </a:sysClr>
                </a:solidFill>
                <a:latin typeface="+mn-lt"/>
                <a:ea typeface="+mn-ea"/>
                <a:cs typeface="+mn-cs"/>
              </a:rPr>
              <a:t>ÇALIŞAN EĞİTİM DÜZEYİ DAĞILIMI</a:t>
            </a:r>
          </a:p>
        </c:rich>
      </c:tx>
      <c:overlay val="0"/>
      <c:spPr>
        <a:noFill/>
        <a:ln>
          <a:noFill/>
        </a:ln>
        <a:effectLst/>
      </c:spPr>
      <c:txPr>
        <a:bodyPr rot="0" spcFirstLastPara="1" vertOverflow="ellipsis" vert="horz" wrap="square" anchor="ctr" anchorCtr="1"/>
        <a:lstStyle/>
        <a:p>
          <a:pPr>
            <a:defRPr lang="en-US" sz="1600" b="1" i="0" u="none" strike="noStrike" kern="1200" cap="all"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'işveren grafikler'!$A$45</c:f>
              <c:strCache>
                <c:ptCount val="1"/>
                <c:pt idx="0">
                  <c:v>%0-20 arası</c:v>
                </c:pt>
              </c:strCache>
            </c:strRef>
          </c:tx>
          <c:spPr>
            <a:solidFill>
              <a:schemeClr val="accent1"/>
            </a:solidFill>
            <a:ln>
              <a:noFill/>
            </a:ln>
            <a:effectLst/>
          </c:spPr>
          <c:invertIfNegative val="0"/>
          <c:cat>
            <c:strRef>
              <c:f>'işveren grafikler'!$B$44:$G$44</c:f>
              <c:strCache>
                <c:ptCount val="6"/>
                <c:pt idx="0">
                  <c:v>Doktora</c:v>
                </c:pt>
                <c:pt idx="1">
                  <c:v>Yüksek Lisans</c:v>
                </c:pt>
                <c:pt idx="2">
                  <c:v>Lisans</c:v>
                </c:pt>
                <c:pt idx="3">
                  <c:v>Ön Lisans/ Meslek Yüksekokulu</c:v>
                </c:pt>
                <c:pt idx="4">
                  <c:v>Ortaöğretim</c:v>
                </c:pt>
                <c:pt idx="5">
                  <c:v>İlköğretim</c:v>
                </c:pt>
              </c:strCache>
            </c:strRef>
          </c:cat>
          <c:val>
            <c:numRef>
              <c:f>'işveren grafikler'!$B$45:$G$45</c:f>
              <c:numCache>
                <c:formatCode>0%</c:formatCode>
                <c:ptCount val="6"/>
                <c:pt idx="0">
                  <c:v>1</c:v>
                </c:pt>
                <c:pt idx="1">
                  <c:v>0.8</c:v>
                </c:pt>
                <c:pt idx="2">
                  <c:v>0.25</c:v>
                </c:pt>
                <c:pt idx="3">
                  <c:v>0.35</c:v>
                </c:pt>
                <c:pt idx="4">
                  <c:v>0.55000000000000004</c:v>
                </c:pt>
                <c:pt idx="5">
                  <c:v>0.8</c:v>
                </c:pt>
              </c:numCache>
            </c:numRef>
          </c:val>
          <c:extLst>
            <c:ext xmlns:c16="http://schemas.microsoft.com/office/drawing/2014/chart" uri="{C3380CC4-5D6E-409C-BE32-E72D297353CC}">
              <c16:uniqueId val="{00000000-BC54-4A56-ADDE-C0DE7D4CE823}"/>
            </c:ext>
          </c:extLst>
        </c:ser>
        <c:ser>
          <c:idx val="1"/>
          <c:order val="1"/>
          <c:tx>
            <c:strRef>
              <c:f>'işveren grafikler'!$A$46</c:f>
              <c:strCache>
                <c:ptCount val="1"/>
                <c:pt idx="0">
                  <c:v>%21-40 arası</c:v>
                </c:pt>
              </c:strCache>
            </c:strRef>
          </c:tx>
          <c:spPr>
            <a:solidFill>
              <a:schemeClr val="accent2"/>
            </a:solidFill>
            <a:ln>
              <a:noFill/>
            </a:ln>
            <a:effectLst/>
          </c:spPr>
          <c:invertIfNegative val="0"/>
          <c:cat>
            <c:strRef>
              <c:f>'işveren grafikler'!$B$44:$G$44</c:f>
              <c:strCache>
                <c:ptCount val="6"/>
                <c:pt idx="0">
                  <c:v>Doktora</c:v>
                </c:pt>
                <c:pt idx="1">
                  <c:v>Yüksek Lisans</c:v>
                </c:pt>
                <c:pt idx="2">
                  <c:v>Lisans</c:v>
                </c:pt>
                <c:pt idx="3">
                  <c:v>Ön Lisans/ Meslek Yüksekokulu</c:v>
                </c:pt>
                <c:pt idx="4">
                  <c:v>Ortaöğretim</c:v>
                </c:pt>
                <c:pt idx="5">
                  <c:v>İlköğretim</c:v>
                </c:pt>
              </c:strCache>
            </c:strRef>
          </c:cat>
          <c:val>
            <c:numRef>
              <c:f>'işveren grafikler'!$B$46:$G$46</c:f>
              <c:numCache>
                <c:formatCode>0%</c:formatCode>
                <c:ptCount val="6"/>
                <c:pt idx="0">
                  <c:v>0</c:v>
                </c:pt>
                <c:pt idx="1">
                  <c:v>0.1</c:v>
                </c:pt>
                <c:pt idx="2">
                  <c:v>0.35</c:v>
                </c:pt>
                <c:pt idx="3">
                  <c:v>0.45</c:v>
                </c:pt>
                <c:pt idx="4">
                  <c:v>0.2</c:v>
                </c:pt>
                <c:pt idx="5">
                  <c:v>0.1</c:v>
                </c:pt>
              </c:numCache>
            </c:numRef>
          </c:val>
          <c:extLst>
            <c:ext xmlns:c16="http://schemas.microsoft.com/office/drawing/2014/chart" uri="{C3380CC4-5D6E-409C-BE32-E72D297353CC}">
              <c16:uniqueId val="{00000001-BC54-4A56-ADDE-C0DE7D4CE823}"/>
            </c:ext>
          </c:extLst>
        </c:ser>
        <c:ser>
          <c:idx val="2"/>
          <c:order val="2"/>
          <c:tx>
            <c:strRef>
              <c:f>'işveren grafikler'!$A$47</c:f>
              <c:strCache>
                <c:ptCount val="1"/>
                <c:pt idx="0">
                  <c:v>%41-60 arası</c:v>
                </c:pt>
              </c:strCache>
            </c:strRef>
          </c:tx>
          <c:spPr>
            <a:solidFill>
              <a:schemeClr val="accent3"/>
            </a:solidFill>
            <a:ln>
              <a:noFill/>
            </a:ln>
            <a:effectLst/>
          </c:spPr>
          <c:invertIfNegative val="0"/>
          <c:cat>
            <c:strRef>
              <c:f>'işveren grafikler'!$B$44:$G$44</c:f>
              <c:strCache>
                <c:ptCount val="6"/>
                <c:pt idx="0">
                  <c:v>Doktora</c:v>
                </c:pt>
                <c:pt idx="1">
                  <c:v>Yüksek Lisans</c:v>
                </c:pt>
                <c:pt idx="2">
                  <c:v>Lisans</c:v>
                </c:pt>
                <c:pt idx="3">
                  <c:v>Ön Lisans/ Meslek Yüksekokulu</c:v>
                </c:pt>
                <c:pt idx="4">
                  <c:v>Ortaöğretim</c:v>
                </c:pt>
                <c:pt idx="5">
                  <c:v>İlköğretim</c:v>
                </c:pt>
              </c:strCache>
            </c:strRef>
          </c:cat>
          <c:val>
            <c:numRef>
              <c:f>'işveren grafikler'!$B$47:$G$47</c:f>
              <c:numCache>
                <c:formatCode>0%</c:formatCode>
                <c:ptCount val="6"/>
                <c:pt idx="0">
                  <c:v>0</c:v>
                </c:pt>
                <c:pt idx="1">
                  <c:v>0.1</c:v>
                </c:pt>
                <c:pt idx="2">
                  <c:v>0.2</c:v>
                </c:pt>
                <c:pt idx="3">
                  <c:v>0.2</c:v>
                </c:pt>
                <c:pt idx="4">
                  <c:v>0.15</c:v>
                </c:pt>
                <c:pt idx="5">
                  <c:v>0.05</c:v>
                </c:pt>
              </c:numCache>
            </c:numRef>
          </c:val>
          <c:extLst>
            <c:ext xmlns:c16="http://schemas.microsoft.com/office/drawing/2014/chart" uri="{C3380CC4-5D6E-409C-BE32-E72D297353CC}">
              <c16:uniqueId val="{00000002-BC54-4A56-ADDE-C0DE7D4CE823}"/>
            </c:ext>
          </c:extLst>
        </c:ser>
        <c:ser>
          <c:idx val="3"/>
          <c:order val="3"/>
          <c:tx>
            <c:strRef>
              <c:f>'işveren grafikler'!$A$48</c:f>
              <c:strCache>
                <c:ptCount val="1"/>
                <c:pt idx="0">
                  <c:v>%61'den fazla</c:v>
                </c:pt>
              </c:strCache>
            </c:strRef>
          </c:tx>
          <c:spPr>
            <a:solidFill>
              <a:schemeClr val="accent4"/>
            </a:solidFill>
            <a:ln>
              <a:noFill/>
            </a:ln>
            <a:effectLst/>
          </c:spPr>
          <c:invertIfNegative val="0"/>
          <c:cat>
            <c:strRef>
              <c:f>'işveren grafikler'!$B$44:$G$44</c:f>
              <c:strCache>
                <c:ptCount val="6"/>
                <c:pt idx="0">
                  <c:v>Doktora</c:v>
                </c:pt>
                <c:pt idx="1">
                  <c:v>Yüksek Lisans</c:v>
                </c:pt>
                <c:pt idx="2">
                  <c:v>Lisans</c:v>
                </c:pt>
                <c:pt idx="3">
                  <c:v>Ön Lisans/ Meslek Yüksekokulu</c:v>
                </c:pt>
                <c:pt idx="4">
                  <c:v>Ortaöğretim</c:v>
                </c:pt>
                <c:pt idx="5">
                  <c:v>İlköğretim</c:v>
                </c:pt>
              </c:strCache>
            </c:strRef>
          </c:cat>
          <c:val>
            <c:numRef>
              <c:f>'işveren grafikler'!$B$48:$G$48</c:f>
              <c:numCache>
                <c:formatCode>0%</c:formatCode>
                <c:ptCount val="6"/>
                <c:pt idx="0">
                  <c:v>0</c:v>
                </c:pt>
                <c:pt idx="1">
                  <c:v>0</c:v>
                </c:pt>
                <c:pt idx="2">
                  <c:v>0.2</c:v>
                </c:pt>
                <c:pt idx="3">
                  <c:v>0</c:v>
                </c:pt>
                <c:pt idx="4">
                  <c:v>0.1</c:v>
                </c:pt>
                <c:pt idx="5">
                  <c:v>0.05</c:v>
                </c:pt>
              </c:numCache>
            </c:numRef>
          </c:val>
          <c:extLst>
            <c:ext xmlns:c16="http://schemas.microsoft.com/office/drawing/2014/chart" uri="{C3380CC4-5D6E-409C-BE32-E72D297353CC}">
              <c16:uniqueId val="{00000003-BC54-4A56-ADDE-C0DE7D4CE823}"/>
            </c:ext>
          </c:extLst>
        </c:ser>
        <c:dLbls>
          <c:showLegendKey val="0"/>
          <c:showVal val="0"/>
          <c:showCatName val="0"/>
          <c:showSerName val="0"/>
          <c:showPercent val="0"/>
          <c:showBubbleSize val="0"/>
        </c:dLbls>
        <c:gapWidth val="150"/>
        <c:axId val="752021520"/>
        <c:axId val="752021104"/>
      </c:barChart>
      <c:catAx>
        <c:axId val="75202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021104"/>
        <c:crosses val="autoZero"/>
        <c:auto val="1"/>
        <c:lblAlgn val="ctr"/>
        <c:lblOffset val="100"/>
        <c:noMultiLvlLbl val="0"/>
      </c:catAx>
      <c:valAx>
        <c:axId val="7520211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021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cap="all" spc="0" baseline="0">
                <a:solidFill>
                  <a:sysClr val="windowText" lastClr="000000">
                    <a:lumMod val="65000"/>
                    <a:lumOff val="35000"/>
                  </a:sysClr>
                </a:solidFill>
                <a:latin typeface="+mn-lt"/>
                <a:ea typeface="+mn-ea"/>
                <a:cs typeface="+mn-cs"/>
              </a:defRPr>
            </a:pPr>
            <a:r>
              <a:rPr lang="en-US" sz="1600" b="1" i="0" u="none" strike="noStrike" kern="1200" cap="all" baseline="0">
                <a:solidFill>
                  <a:sysClr val="windowText" lastClr="000000">
                    <a:lumMod val="65000"/>
                    <a:lumOff val="35000"/>
                  </a:sysClr>
                </a:solidFill>
                <a:latin typeface="+mn-lt"/>
                <a:ea typeface="+mn-ea"/>
                <a:cs typeface="+mn-cs"/>
              </a:rPr>
              <a:t>KADIN ÇALIŞAN DAĞILIMI</a:t>
            </a:r>
          </a:p>
        </c:rich>
      </c:tx>
      <c:overlay val="0"/>
      <c:spPr>
        <a:noFill/>
        <a:ln>
          <a:noFill/>
        </a:ln>
        <a:effectLst/>
      </c:spPr>
      <c:txPr>
        <a:bodyPr rot="0" spcFirstLastPara="1" vertOverflow="ellipsis" vert="horz" wrap="square" anchor="ctr" anchorCtr="1"/>
        <a:lstStyle/>
        <a:p>
          <a:pPr>
            <a:defRPr lang="en-US" sz="1600" b="1" i="0" u="none" strike="noStrike" kern="1200" cap="all"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'işveren grafikler'!$A$62</c:f>
              <c:strCache>
                <c:ptCount val="1"/>
                <c:pt idx="0">
                  <c:v>%0-20 arası</c:v>
                </c:pt>
              </c:strCache>
            </c:strRef>
          </c:tx>
          <c:spPr>
            <a:solidFill>
              <a:schemeClr val="accent1"/>
            </a:solidFill>
            <a:ln>
              <a:noFill/>
            </a:ln>
            <a:effectLst/>
          </c:spPr>
          <c:invertIfNegative val="0"/>
          <c:cat>
            <c:strRef>
              <c:f>'işveren grafikler'!$B$61:$C$61</c:f>
              <c:strCache>
                <c:ptCount val="2"/>
                <c:pt idx="0">
                  <c:v>Teknik Posizyonlar</c:v>
                </c:pt>
                <c:pt idx="1">
                  <c:v>Yönetim ve İdari Pozisyonlar</c:v>
                </c:pt>
              </c:strCache>
            </c:strRef>
          </c:cat>
          <c:val>
            <c:numRef>
              <c:f>'işveren grafikler'!$B$62:$C$62</c:f>
              <c:numCache>
                <c:formatCode>0%</c:formatCode>
                <c:ptCount val="2"/>
                <c:pt idx="0">
                  <c:v>0.35</c:v>
                </c:pt>
                <c:pt idx="1">
                  <c:v>0.55000000000000004</c:v>
                </c:pt>
              </c:numCache>
            </c:numRef>
          </c:val>
          <c:extLst>
            <c:ext xmlns:c16="http://schemas.microsoft.com/office/drawing/2014/chart" uri="{C3380CC4-5D6E-409C-BE32-E72D297353CC}">
              <c16:uniqueId val="{00000000-B110-4465-862B-EC160DFDF170}"/>
            </c:ext>
          </c:extLst>
        </c:ser>
        <c:ser>
          <c:idx val="1"/>
          <c:order val="1"/>
          <c:tx>
            <c:strRef>
              <c:f>'işveren grafikler'!$A$63</c:f>
              <c:strCache>
                <c:ptCount val="1"/>
                <c:pt idx="0">
                  <c:v>%21-40 arası</c:v>
                </c:pt>
              </c:strCache>
            </c:strRef>
          </c:tx>
          <c:spPr>
            <a:solidFill>
              <a:schemeClr val="accent2"/>
            </a:solidFill>
            <a:ln>
              <a:noFill/>
            </a:ln>
            <a:effectLst/>
          </c:spPr>
          <c:invertIfNegative val="0"/>
          <c:cat>
            <c:strRef>
              <c:f>'işveren grafikler'!$B$61:$C$61</c:f>
              <c:strCache>
                <c:ptCount val="2"/>
                <c:pt idx="0">
                  <c:v>Teknik Posizyonlar</c:v>
                </c:pt>
                <c:pt idx="1">
                  <c:v>Yönetim ve İdari Pozisyonlar</c:v>
                </c:pt>
              </c:strCache>
            </c:strRef>
          </c:cat>
          <c:val>
            <c:numRef>
              <c:f>'işveren grafikler'!$B$63:$C$63</c:f>
              <c:numCache>
                <c:formatCode>0%</c:formatCode>
                <c:ptCount val="2"/>
                <c:pt idx="0">
                  <c:v>0.45</c:v>
                </c:pt>
                <c:pt idx="1">
                  <c:v>0.3</c:v>
                </c:pt>
              </c:numCache>
            </c:numRef>
          </c:val>
          <c:extLst>
            <c:ext xmlns:c16="http://schemas.microsoft.com/office/drawing/2014/chart" uri="{C3380CC4-5D6E-409C-BE32-E72D297353CC}">
              <c16:uniqueId val="{00000001-B110-4465-862B-EC160DFDF170}"/>
            </c:ext>
          </c:extLst>
        </c:ser>
        <c:ser>
          <c:idx val="2"/>
          <c:order val="2"/>
          <c:tx>
            <c:strRef>
              <c:f>'işveren grafikler'!$A$64</c:f>
              <c:strCache>
                <c:ptCount val="1"/>
                <c:pt idx="0">
                  <c:v>%41-60 arası</c:v>
                </c:pt>
              </c:strCache>
            </c:strRef>
          </c:tx>
          <c:spPr>
            <a:solidFill>
              <a:schemeClr val="accent3"/>
            </a:solidFill>
            <a:ln>
              <a:noFill/>
            </a:ln>
            <a:effectLst/>
          </c:spPr>
          <c:invertIfNegative val="0"/>
          <c:cat>
            <c:strRef>
              <c:f>'işveren grafikler'!$B$61:$C$61</c:f>
              <c:strCache>
                <c:ptCount val="2"/>
                <c:pt idx="0">
                  <c:v>Teknik Posizyonlar</c:v>
                </c:pt>
                <c:pt idx="1">
                  <c:v>Yönetim ve İdari Pozisyonlar</c:v>
                </c:pt>
              </c:strCache>
            </c:strRef>
          </c:cat>
          <c:val>
            <c:numRef>
              <c:f>'işveren grafikler'!$B$64:$C$64</c:f>
              <c:numCache>
                <c:formatCode>0%</c:formatCode>
                <c:ptCount val="2"/>
                <c:pt idx="0">
                  <c:v>0.15</c:v>
                </c:pt>
                <c:pt idx="1">
                  <c:v>0.1</c:v>
                </c:pt>
              </c:numCache>
            </c:numRef>
          </c:val>
          <c:extLst>
            <c:ext xmlns:c16="http://schemas.microsoft.com/office/drawing/2014/chart" uri="{C3380CC4-5D6E-409C-BE32-E72D297353CC}">
              <c16:uniqueId val="{00000002-B110-4465-862B-EC160DFDF170}"/>
            </c:ext>
          </c:extLst>
        </c:ser>
        <c:ser>
          <c:idx val="3"/>
          <c:order val="3"/>
          <c:tx>
            <c:strRef>
              <c:f>'işveren grafikler'!$A$65</c:f>
              <c:strCache>
                <c:ptCount val="1"/>
                <c:pt idx="0">
                  <c:v>%61'den fazla</c:v>
                </c:pt>
              </c:strCache>
            </c:strRef>
          </c:tx>
          <c:spPr>
            <a:solidFill>
              <a:schemeClr val="accent4"/>
            </a:solidFill>
            <a:ln>
              <a:noFill/>
            </a:ln>
            <a:effectLst/>
          </c:spPr>
          <c:invertIfNegative val="0"/>
          <c:cat>
            <c:strRef>
              <c:f>'işveren grafikler'!$B$61:$C$61</c:f>
              <c:strCache>
                <c:ptCount val="2"/>
                <c:pt idx="0">
                  <c:v>Teknik Posizyonlar</c:v>
                </c:pt>
                <c:pt idx="1">
                  <c:v>Yönetim ve İdari Pozisyonlar</c:v>
                </c:pt>
              </c:strCache>
            </c:strRef>
          </c:cat>
          <c:val>
            <c:numRef>
              <c:f>'işveren grafikler'!$B$65:$C$65</c:f>
              <c:numCache>
                <c:formatCode>0%</c:formatCode>
                <c:ptCount val="2"/>
                <c:pt idx="0">
                  <c:v>0.05</c:v>
                </c:pt>
                <c:pt idx="1">
                  <c:v>0.05</c:v>
                </c:pt>
              </c:numCache>
            </c:numRef>
          </c:val>
          <c:extLst>
            <c:ext xmlns:c16="http://schemas.microsoft.com/office/drawing/2014/chart" uri="{C3380CC4-5D6E-409C-BE32-E72D297353CC}">
              <c16:uniqueId val="{00000003-B110-4465-862B-EC160DFDF170}"/>
            </c:ext>
          </c:extLst>
        </c:ser>
        <c:dLbls>
          <c:showLegendKey val="0"/>
          <c:showVal val="0"/>
          <c:showCatName val="0"/>
          <c:showSerName val="0"/>
          <c:showPercent val="0"/>
          <c:showBubbleSize val="0"/>
        </c:dLbls>
        <c:gapWidth val="150"/>
        <c:axId val="752021520"/>
        <c:axId val="752021104"/>
      </c:barChart>
      <c:catAx>
        <c:axId val="75202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021104"/>
        <c:crosses val="autoZero"/>
        <c:auto val="1"/>
        <c:lblAlgn val="ctr"/>
        <c:lblOffset val="100"/>
        <c:noMultiLvlLbl val="0"/>
      </c:catAx>
      <c:valAx>
        <c:axId val="7520211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021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EĞİTİM SONRASI GÖREVE HAZIR BULUNUŞLUK</a:t>
            </a:r>
          </a:p>
        </c:rich>
      </c:tx>
      <c:layout>
        <c:manualLayout>
          <c:xMode val="edge"/>
          <c:yMode val="edge"/>
          <c:x val="0.17980784175328238"/>
          <c:y val="2.3121358019066136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9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8DF-41CF-8D64-FC60EE8F8C5B}"/>
              </c:ext>
            </c:extLst>
          </c:dPt>
          <c:dPt>
            <c:idx val="1"/>
            <c:bubble3D val="0"/>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8DF-41CF-8D64-FC60EE8F8C5B}"/>
              </c:ext>
            </c:extLst>
          </c:dPt>
          <c:dPt>
            <c:idx val="2"/>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8DF-41CF-8D64-FC60EE8F8C5B}"/>
              </c:ext>
            </c:extLst>
          </c:dPt>
          <c:dPt>
            <c:idx val="3"/>
            <c:bubble3D val="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48DF-41CF-8D64-FC60EE8F8C5B}"/>
              </c:ext>
            </c:extLst>
          </c:dPt>
          <c:dPt>
            <c:idx val="4"/>
            <c:bubble3D val="0"/>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48DF-41CF-8D64-FC60EE8F8C5B}"/>
              </c:ext>
            </c:extLst>
          </c:dPt>
          <c:dPt>
            <c:idx val="5"/>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48DF-41CF-8D64-FC60EE8F8C5B}"/>
              </c:ext>
            </c:extLst>
          </c:dPt>
          <c:dPt>
            <c:idx val="6"/>
            <c:bubble3D val="0"/>
            <c:spPr>
              <a:solidFill>
                <a:schemeClr val="accent1">
                  <a:tint val="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48DF-41CF-8D64-FC60EE8F8C5B}"/>
              </c:ext>
            </c:extLst>
          </c:dPt>
          <c:dPt>
            <c:idx val="7"/>
            <c:bubble3D val="0"/>
            <c:spPr>
              <a:solidFill>
                <a:schemeClr val="accent1">
                  <a:tint val="8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48DF-41CF-8D64-FC60EE8F8C5B}"/>
              </c:ext>
            </c:extLst>
          </c:dPt>
          <c:dPt>
            <c:idx val="8"/>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48DF-41CF-8D64-FC60EE8F8C5B}"/>
              </c:ext>
            </c:extLst>
          </c:dPt>
          <c:dLbls>
            <c:dLbl>
              <c:idx val="0"/>
              <c:layout>
                <c:manualLayout>
                  <c:x val="-0.47601477275857002"/>
                  <c:y val="5.28862851743219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8DF-41CF-8D64-FC60EE8F8C5B}"/>
                </c:ext>
              </c:extLst>
            </c:dLbl>
            <c:dLbl>
              <c:idx val="1"/>
              <c:spPr>
                <a:noFill/>
                <a:ln>
                  <a:noFill/>
                </a:ln>
                <a:effectLst/>
              </c:spPr>
              <c:txPr>
                <a:bodyPr rot="0" spcFirstLastPara="1" vertOverflow="ellipsis" vert="horz" wrap="square" lIns="38100" tIns="19050" rIns="38100" bIns="19050" anchor="ctr" anchorCtr="0">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48DF-41CF-8D64-FC60EE8F8C5B}"/>
                </c:ext>
              </c:extLst>
            </c:dLbl>
            <c:dLbl>
              <c:idx val="2"/>
              <c:layout>
                <c:manualLayout>
                  <c:x val="-0.35695112398581796"/>
                  <c:y val="0.1430535033533165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8DF-41CF-8D64-FC60EE8F8C5B}"/>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48DF-41CF-8D64-FC60EE8F8C5B}"/>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48DF-41CF-8D64-FC60EE8F8C5B}"/>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48DF-41CF-8D64-FC60EE8F8C5B}"/>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48DF-41CF-8D64-FC60EE8F8C5B}"/>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F-48DF-41CF-8D64-FC60EE8F8C5B}"/>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48DF-41CF-8D64-FC60EE8F8C5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'işveren grafikler'!$A$79:$A$83</c:f>
              <c:strCache>
                <c:ptCount val="5"/>
                <c:pt idx="0">
                  <c:v>Kesinlikle katılmıyorum</c:v>
                </c:pt>
                <c:pt idx="1">
                  <c:v>Katılmıyorum</c:v>
                </c:pt>
                <c:pt idx="2">
                  <c:v>Kararsız / Tarafsız</c:v>
                </c:pt>
                <c:pt idx="3">
                  <c:v>Katılıyorum</c:v>
                </c:pt>
                <c:pt idx="4">
                  <c:v>Kesinlikle katılıyorum</c:v>
                </c:pt>
              </c:strCache>
            </c:strRef>
          </c:cat>
          <c:val>
            <c:numRef>
              <c:f>'işveren grafikler'!$B$79:$B$83</c:f>
              <c:numCache>
                <c:formatCode>General</c:formatCode>
                <c:ptCount val="5"/>
                <c:pt idx="0">
                  <c:v>6</c:v>
                </c:pt>
                <c:pt idx="1">
                  <c:v>7</c:v>
                </c:pt>
                <c:pt idx="2">
                  <c:v>4</c:v>
                </c:pt>
                <c:pt idx="3">
                  <c:v>0</c:v>
                </c:pt>
                <c:pt idx="4">
                  <c:v>3</c:v>
                </c:pt>
              </c:numCache>
            </c:numRef>
          </c:val>
          <c:extLst>
            <c:ext xmlns:c16="http://schemas.microsoft.com/office/drawing/2014/chart" uri="{C3380CC4-5D6E-409C-BE32-E72D297353CC}">
              <c16:uniqueId val="{00000012-48DF-41CF-8D64-FC60EE8F8C5B}"/>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2</a:t>
            </a:r>
            <a:r>
              <a:rPr lang="en-US" baseline="0"/>
              <a:t> YILLIK İSTİHDAM DEĞİŞİM BEKLENTİSİ</a:t>
            </a:r>
            <a:endParaRPr lang="en-US"/>
          </a:p>
        </c:rich>
      </c:tx>
      <c:layout>
        <c:manualLayout>
          <c:xMode val="edge"/>
          <c:yMode val="edge"/>
          <c:x val="0.21917291718234622"/>
          <c:y val="3.689913868981623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9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1957498116985569E-2"/>
          <c:y val="0.29423621880550582"/>
          <c:w val="0.51253151087941751"/>
          <c:h val="0.58010965811576376"/>
        </c:manualLayout>
      </c:layout>
      <c:pie3DChart>
        <c:varyColors val="1"/>
        <c:ser>
          <c:idx val="0"/>
          <c:order val="0"/>
          <c:dPt>
            <c:idx val="0"/>
            <c:bubble3D val="0"/>
            <c:spPr>
              <a:solidFill>
                <a:schemeClr val="accent1">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7A2-4D7D-B482-6AA99C1C60A0}"/>
              </c:ext>
            </c:extLst>
          </c:dPt>
          <c:dPt>
            <c:idx val="1"/>
            <c:bubble3D val="0"/>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7A2-4D7D-B482-6AA99C1C60A0}"/>
              </c:ext>
            </c:extLst>
          </c:dPt>
          <c:dPt>
            <c:idx val="2"/>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7A2-4D7D-B482-6AA99C1C60A0}"/>
              </c:ext>
            </c:extLst>
          </c:dPt>
          <c:dPt>
            <c:idx val="3"/>
            <c:bubble3D val="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37A2-4D7D-B482-6AA99C1C60A0}"/>
              </c:ext>
            </c:extLst>
          </c:dPt>
          <c:dPt>
            <c:idx val="4"/>
            <c:bubble3D val="0"/>
            <c:spPr>
              <a:solidFill>
                <a:schemeClr val="accent1">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37A2-4D7D-B482-6AA99C1C60A0}"/>
              </c:ext>
            </c:extLst>
          </c:dPt>
          <c:dPt>
            <c:idx val="5"/>
            <c:bubble3D val="0"/>
            <c:spPr>
              <a:solidFill>
                <a:schemeClr val="accent1">
                  <a:tint val="3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37A2-4D7D-B482-6AA99C1C60A0}"/>
              </c:ext>
            </c:extLst>
          </c:dPt>
          <c:dPt>
            <c:idx val="6"/>
            <c:bubble3D val="0"/>
            <c:spPr>
              <a:solidFill>
                <a:schemeClr val="accent1">
                  <a:tint val="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37A2-4D7D-B482-6AA99C1C60A0}"/>
              </c:ext>
            </c:extLst>
          </c:dPt>
          <c:dPt>
            <c:idx val="7"/>
            <c:bubble3D val="0"/>
            <c:spPr>
              <a:solidFill>
                <a:schemeClr val="accent1">
                  <a:tint val="8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37A2-4D7D-B482-6AA99C1C60A0}"/>
              </c:ext>
            </c:extLst>
          </c:dPt>
          <c:dPt>
            <c:idx val="8"/>
            <c:bubble3D val="0"/>
            <c:spPr>
              <a:solidFill>
                <a:schemeClr val="accent1">
                  <a:tint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37A2-4D7D-B482-6AA99C1C60A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1-37A2-4D7D-B482-6AA99C1C60A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3-37A2-4D7D-B482-6AA99C1C60A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5-37A2-4D7D-B482-6AA99C1C60A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7-37A2-4D7D-B482-6AA99C1C60A0}"/>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9-37A2-4D7D-B482-6AA99C1C60A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'işveren grafikler'!$A$97:$A$101</c:f>
              <c:strCache>
                <c:ptCount val="5"/>
                <c:pt idx="0">
                  <c:v>%25'ten fazla artış</c:v>
                </c:pt>
                <c:pt idx="1">
                  <c:v>%0-25 arasında artış</c:v>
                </c:pt>
                <c:pt idx="2">
                  <c:v>Sabit</c:v>
                </c:pt>
                <c:pt idx="3">
                  <c:v>%0-25 arasında azalma</c:v>
                </c:pt>
                <c:pt idx="4">
                  <c:v>%25'ten fazla azalma</c:v>
                </c:pt>
              </c:strCache>
            </c:strRef>
          </c:cat>
          <c:val>
            <c:numRef>
              <c:f>'işveren grafikler'!$C$97:$C$101</c:f>
              <c:numCache>
                <c:formatCode>0%</c:formatCode>
                <c:ptCount val="5"/>
                <c:pt idx="0">
                  <c:v>0.25</c:v>
                </c:pt>
                <c:pt idx="1">
                  <c:v>0.45</c:v>
                </c:pt>
                <c:pt idx="2">
                  <c:v>0.1</c:v>
                </c:pt>
                <c:pt idx="3">
                  <c:v>0.15</c:v>
                </c:pt>
                <c:pt idx="4">
                  <c:v>0.05</c:v>
                </c:pt>
              </c:numCache>
            </c:numRef>
          </c:val>
          <c:extLst>
            <c:ext xmlns:c16="http://schemas.microsoft.com/office/drawing/2014/chart" uri="{C3380CC4-5D6E-409C-BE32-E72D297353CC}">
              <c16:uniqueId val="{00000012-37A2-4D7D-B482-6AA99C1C60A0}"/>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5082292490923677"/>
          <c:y val="0.33363400315634878"/>
          <c:w val="0.34221161488950735"/>
          <c:h val="0.481302123896954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800" b="1" i="0" cap="all" baseline="0">
                <a:effectLst/>
              </a:rPr>
              <a:t>İSTİHDAM DEĞİŞİMİNİ ETKİLEYEN FAKTÖRLER</a:t>
            </a:r>
            <a:endParaRPr lang="en-US">
              <a:effectLst/>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a:outerShdw blurRad="63500" sx="102000" sy="102000" algn="ctr" rotWithShape="0">
                <a:prstClr val="black">
                  <a:alpha val="20000"/>
                </a:prstClr>
              </a:outerShdw>
            </a:effectLst>
          </c:spPr>
          <c:invertIfNegative val="0"/>
          <c:dPt>
            <c:idx val="0"/>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A78C-4719-A49A-280B29BC57D3}"/>
              </c:ext>
            </c:extLst>
          </c:dPt>
          <c:dPt>
            <c:idx val="1"/>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A78C-4719-A49A-280B29BC57D3}"/>
              </c:ext>
            </c:extLst>
          </c:dPt>
          <c:dPt>
            <c:idx val="2"/>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A78C-4719-A49A-280B29BC57D3}"/>
              </c:ext>
            </c:extLst>
          </c:dPt>
          <c:dPt>
            <c:idx val="3"/>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A78C-4719-A49A-280B29BC57D3}"/>
              </c:ext>
            </c:extLst>
          </c:dPt>
          <c:dPt>
            <c:idx val="4"/>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A78C-4719-A49A-280B29BC57D3}"/>
              </c:ext>
            </c:extLst>
          </c:dPt>
          <c:dPt>
            <c:idx val="5"/>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A78C-4719-A49A-280B29BC57D3}"/>
              </c:ext>
            </c:extLst>
          </c:dPt>
          <c:dPt>
            <c:idx val="6"/>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A78C-4719-A49A-280B29BC57D3}"/>
              </c:ext>
            </c:extLst>
          </c:dPt>
          <c:dPt>
            <c:idx val="7"/>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A78C-4719-A49A-280B29BC57D3}"/>
              </c:ext>
            </c:extLst>
          </c:dPt>
          <c:dPt>
            <c:idx val="8"/>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A78C-4719-A49A-280B29BC57D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'işveren grafikler'!$A$111:$A$119</c:f>
              <c:strCache>
                <c:ptCount val="9"/>
                <c:pt idx="0">
                  <c:v>İşletme ve Bakım İhtiyaçları</c:v>
                </c:pt>
                <c:pt idx="1">
                  <c:v>Ar-Ge Odaklılık</c:v>
                </c:pt>
                <c:pt idx="2">
                  <c:v>Coğrafi Faaliyet Alanlarında Değişiklikler</c:v>
                </c:pt>
                <c:pt idx="3">
                  <c:v>Altyapı ve kapasite yetersizliği</c:v>
                </c:pt>
                <c:pt idx="4">
                  <c:v>Yerli Üretim Odaklılık</c:v>
                </c:pt>
                <c:pt idx="5">
                  <c:v>Teşvikler</c:v>
                </c:pt>
                <c:pt idx="6">
                  <c:v>Depolama ve Diğer Yeni Teknolojiler</c:v>
                </c:pt>
                <c:pt idx="7">
                  <c:v>Mevzuat Değişiklikleri</c:v>
                </c:pt>
                <c:pt idx="8">
                  <c:v>Yatırım Hızında ve Kapasitede Değişiklikler</c:v>
                </c:pt>
              </c:strCache>
            </c:strRef>
          </c:cat>
          <c:val>
            <c:numRef>
              <c:f>'işveren grafikler'!$C$111:$C$119</c:f>
              <c:numCache>
                <c:formatCode>0%</c:formatCode>
                <c:ptCount val="9"/>
                <c:pt idx="0">
                  <c:v>0</c:v>
                </c:pt>
                <c:pt idx="1">
                  <c:v>0.05</c:v>
                </c:pt>
                <c:pt idx="2">
                  <c:v>0.05</c:v>
                </c:pt>
                <c:pt idx="3">
                  <c:v>0.05</c:v>
                </c:pt>
                <c:pt idx="4">
                  <c:v>0.2</c:v>
                </c:pt>
                <c:pt idx="5">
                  <c:v>0.25</c:v>
                </c:pt>
                <c:pt idx="6">
                  <c:v>0.55000000000000004</c:v>
                </c:pt>
                <c:pt idx="7">
                  <c:v>0.55000000000000004</c:v>
                </c:pt>
                <c:pt idx="8">
                  <c:v>0.95</c:v>
                </c:pt>
              </c:numCache>
            </c:numRef>
          </c:val>
          <c:extLst>
            <c:ext xmlns:c16="http://schemas.microsoft.com/office/drawing/2014/chart" uri="{C3380CC4-5D6E-409C-BE32-E72D297353CC}">
              <c16:uniqueId val="{00000012-A78C-4719-A49A-280B29BC57D3}"/>
            </c:ext>
          </c:extLst>
        </c:ser>
        <c:dLbls>
          <c:showLegendKey val="0"/>
          <c:showVal val="0"/>
          <c:showCatName val="0"/>
          <c:showSerName val="0"/>
          <c:showPercent val="0"/>
          <c:showBubbleSize val="0"/>
        </c:dLbls>
        <c:gapWidth val="100"/>
        <c:axId val="1845846303"/>
        <c:axId val="1845848799"/>
      </c:barChart>
      <c:valAx>
        <c:axId val="184584879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845846303"/>
        <c:crosses val="autoZero"/>
        <c:crossBetween val="between"/>
      </c:valAx>
      <c:catAx>
        <c:axId val="18458463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8487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withinLinear" id="14">
  <a:schemeClr val="accent1"/>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withinLinear" id="14">
  <a:schemeClr val="accent1"/>
</cs:colorStyle>
</file>

<file path=xl/charts/colors21.xml><?xml version="1.0" encoding="utf-8"?>
<cs:colorStyle xmlns:cs="http://schemas.microsoft.com/office/drawing/2012/chartStyle" xmlns:a="http://schemas.openxmlformats.org/drawingml/2006/main" meth="withinLinear" id="14">
  <a:schemeClr val="accent1"/>
</cs:colorStyle>
</file>

<file path=xl/charts/colors22.xml><?xml version="1.0" encoding="utf-8"?>
<cs:colorStyle xmlns:cs="http://schemas.microsoft.com/office/drawing/2012/chartStyle" xmlns:a="http://schemas.openxmlformats.org/drawingml/2006/main" meth="withinLinear" id="14">
  <a:schemeClr val="accent1"/>
</cs:colorStyle>
</file>

<file path=xl/charts/colors23.xml><?xml version="1.0" encoding="utf-8"?>
<cs:colorStyle xmlns:cs="http://schemas.microsoft.com/office/drawing/2012/chartStyle" xmlns:a="http://schemas.openxmlformats.org/drawingml/2006/main" meth="withinLinear" id="14">
  <a:schemeClr val="accent1"/>
</cs:colorStyle>
</file>

<file path=xl/charts/colors24.xml><?xml version="1.0" encoding="utf-8"?>
<cs:colorStyle xmlns:cs="http://schemas.microsoft.com/office/drawing/2012/chartStyle" xmlns:a="http://schemas.openxmlformats.org/drawingml/2006/main" meth="withinLinear" id="14">
  <a:schemeClr val="accent1"/>
</cs:colorStyle>
</file>

<file path=xl/charts/colors25.xml><?xml version="1.0" encoding="utf-8"?>
<cs:colorStyle xmlns:cs="http://schemas.microsoft.com/office/drawing/2012/chartStyle" xmlns:a="http://schemas.openxmlformats.org/drawingml/2006/main" meth="withinLinear" id="14">
  <a:schemeClr val="accent1"/>
</cs:colorStyle>
</file>

<file path=xl/charts/colors26.xml><?xml version="1.0" encoding="utf-8"?>
<cs:colorStyle xmlns:cs="http://schemas.microsoft.com/office/drawing/2012/chartStyle" xmlns:a="http://schemas.openxmlformats.org/drawingml/2006/main" meth="withinLinear" id="14">
  <a:schemeClr val="accent1"/>
</cs:colorStyle>
</file>

<file path=xl/charts/colors27.xml><?xml version="1.0" encoding="utf-8"?>
<cs:colorStyle xmlns:cs="http://schemas.microsoft.com/office/drawing/2012/chartStyle" xmlns:a="http://schemas.openxmlformats.org/drawingml/2006/main" meth="withinLinear" id="14">
  <a:schemeClr val="accent1"/>
</cs:colorStyle>
</file>

<file path=xl/charts/colors28.xml><?xml version="1.0" encoding="utf-8"?>
<cs:colorStyle xmlns:cs="http://schemas.microsoft.com/office/drawing/2012/chartStyle" xmlns:a="http://schemas.openxmlformats.org/drawingml/2006/main" meth="withinLinear" id="14">
  <a:schemeClr val="accent1"/>
</cs:colorStyle>
</file>

<file path=xl/charts/colors29.xml><?xml version="1.0" encoding="utf-8"?>
<cs:colorStyle xmlns:cs="http://schemas.microsoft.com/office/drawing/2012/chartStyle" xmlns:a="http://schemas.openxmlformats.org/drawingml/2006/main" meth="withinLinear" id="14">
  <a:schemeClr val="accent1"/>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withinLinear" id="14">
  <a:schemeClr val="accent1"/>
</cs:colorStyle>
</file>

<file path=xl/charts/colors33.xml><?xml version="1.0" encoding="utf-8"?>
<cs:colorStyle xmlns:cs="http://schemas.microsoft.com/office/drawing/2012/chartStyle" xmlns:a="http://schemas.openxmlformats.org/drawingml/2006/main" meth="withinLinear" id="14">
  <a:schemeClr val="accent1"/>
</cs:colorStyle>
</file>

<file path=xl/charts/colors3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3.xml"/><Relationship Id="rId3" Type="http://schemas.openxmlformats.org/officeDocument/2006/relationships/chart" Target="../charts/chart28.xml"/><Relationship Id="rId7" Type="http://schemas.openxmlformats.org/officeDocument/2006/relationships/chart" Target="../charts/chart32.xml"/><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chart" Target="../charts/chart31.xml"/><Relationship Id="rId5" Type="http://schemas.openxmlformats.org/officeDocument/2006/relationships/chart" Target="../charts/chart30.xml"/><Relationship Id="rId4" Type="http://schemas.openxmlformats.org/officeDocument/2006/relationships/chart" Target="../charts/chart29.xml"/><Relationship Id="rId9" Type="http://schemas.openxmlformats.org/officeDocument/2006/relationships/chart" Target="../charts/chart34.xml"/></Relationships>
</file>

<file path=xl/drawings/drawing1.xml><?xml version="1.0" encoding="utf-8"?>
<xdr:wsDr xmlns:xdr="http://schemas.openxmlformats.org/drawingml/2006/spreadsheetDrawing" xmlns:a="http://schemas.openxmlformats.org/drawingml/2006/main">
  <xdr:twoCellAnchor>
    <xdr:from>
      <xdr:col>6</xdr:col>
      <xdr:colOff>207069</xdr:colOff>
      <xdr:row>97</xdr:row>
      <xdr:rowOff>20811</xdr:rowOff>
    </xdr:from>
    <xdr:to>
      <xdr:col>17</xdr:col>
      <xdr:colOff>476489</xdr:colOff>
      <xdr:row>116</xdr:row>
      <xdr:rowOff>58913</xdr:rowOff>
    </xdr:to>
    <xdr:graphicFrame macro="">
      <xdr:nvGraphicFramePr>
        <xdr:cNvPr id="3" name="Chart 2">
          <a:extLst>
            <a:ext uri="{FF2B5EF4-FFF2-40B4-BE49-F238E27FC236}">
              <a16:creationId xmlns:a16="http://schemas.microsoft.com/office/drawing/2014/main" id="{AA96D403-896C-4387-925B-3103D7647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27214</xdr:colOff>
      <xdr:row>121</xdr:row>
      <xdr:rowOff>50347</xdr:rowOff>
    </xdr:from>
    <xdr:to>
      <xdr:col>15</xdr:col>
      <xdr:colOff>293913</xdr:colOff>
      <xdr:row>140</xdr:row>
      <xdr:rowOff>88448</xdr:rowOff>
    </xdr:to>
    <xdr:graphicFrame macro="">
      <xdr:nvGraphicFramePr>
        <xdr:cNvPr id="4" name="Chart 3">
          <a:extLst>
            <a:ext uri="{FF2B5EF4-FFF2-40B4-BE49-F238E27FC236}">
              <a16:creationId xmlns:a16="http://schemas.microsoft.com/office/drawing/2014/main" id="{3AE0FABE-9B27-4998-B53E-48098928A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392207</xdr:colOff>
      <xdr:row>163</xdr:row>
      <xdr:rowOff>22412</xdr:rowOff>
    </xdr:from>
    <xdr:to>
      <xdr:col>10</xdr:col>
      <xdr:colOff>525557</xdr:colOff>
      <xdr:row>182</xdr:row>
      <xdr:rowOff>60513</xdr:rowOff>
    </xdr:to>
    <xdr:graphicFrame macro="">
      <xdr:nvGraphicFramePr>
        <xdr:cNvPr id="7" name="Chart 6">
          <a:extLst>
            <a:ext uri="{FF2B5EF4-FFF2-40B4-BE49-F238E27FC236}">
              <a16:creationId xmlns:a16="http://schemas.microsoft.com/office/drawing/2014/main" id="{D85B0D5F-BC7E-4725-B230-A73492AD8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381000</xdr:colOff>
      <xdr:row>189</xdr:row>
      <xdr:rowOff>33617</xdr:rowOff>
    </xdr:from>
    <xdr:to>
      <xdr:col>10</xdr:col>
      <xdr:colOff>514350</xdr:colOff>
      <xdr:row>208</xdr:row>
      <xdr:rowOff>56030</xdr:rowOff>
    </xdr:to>
    <xdr:graphicFrame macro="">
      <xdr:nvGraphicFramePr>
        <xdr:cNvPr id="8" name="Chart 7">
          <a:extLst>
            <a:ext uri="{FF2B5EF4-FFF2-40B4-BE49-F238E27FC236}">
              <a16:creationId xmlns:a16="http://schemas.microsoft.com/office/drawing/2014/main" id="{70494A5C-2FBA-4B6A-A523-4A78341BF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156882</xdr:colOff>
      <xdr:row>209</xdr:row>
      <xdr:rowOff>145677</xdr:rowOff>
    </xdr:from>
    <xdr:to>
      <xdr:col>10</xdr:col>
      <xdr:colOff>290232</xdr:colOff>
      <xdr:row>229</xdr:row>
      <xdr:rowOff>1</xdr:rowOff>
    </xdr:to>
    <xdr:graphicFrame macro="">
      <xdr:nvGraphicFramePr>
        <xdr:cNvPr id="9" name="Chart 8">
          <a:extLst>
            <a:ext uri="{FF2B5EF4-FFF2-40B4-BE49-F238E27FC236}">
              <a16:creationId xmlns:a16="http://schemas.microsoft.com/office/drawing/2014/main" id="{86CE4C45-4563-48A2-BDC1-2BFF76B13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33618</xdr:colOff>
      <xdr:row>231</xdr:row>
      <xdr:rowOff>22411</xdr:rowOff>
    </xdr:from>
    <xdr:to>
      <xdr:col>10</xdr:col>
      <xdr:colOff>166968</xdr:colOff>
      <xdr:row>250</xdr:row>
      <xdr:rowOff>44824</xdr:rowOff>
    </xdr:to>
    <xdr:graphicFrame macro="">
      <xdr:nvGraphicFramePr>
        <xdr:cNvPr id="10" name="Chart 9">
          <a:extLst>
            <a:ext uri="{FF2B5EF4-FFF2-40B4-BE49-F238E27FC236}">
              <a16:creationId xmlns:a16="http://schemas.microsoft.com/office/drawing/2014/main" id="{59F8E67F-AC94-403B-BF71-31CA7E9B9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33618</xdr:colOff>
      <xdr:row>252</xdr:row>
      <xdr:rowOff>11206</xdr:rowOff>
    </xdr:from>
    <xdr:to>
      <xdr:col>10</xdr:col>
      <xdr:colOff>166968</xdr:colOff>
      <xdr:row>271</xdr:row>
      <xdr:rowOff>33619</xdr:rowOff>
    </xdr:to>
    <xdr:graphicFrame macro="">
      <xdr:nvGraphicFramePr>
        <xdr:cNvPr id="11" name="Chart 10">
          <a:extLst>
            <a:ext uri="{FF2B5EF4-FFF2-40B4-BE49-F238E27FC236}">
              <a16:creationId xmlns:a16="http://schemas.microsoft.com/office/drawing/2014/main" id="{A7F574CE-FC81-49EC-86BD-A14FBC253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78441</xdr:colOff>
      <xdr:row>272</xdr:row>
      <xdr:rowOff>22412</xdr:rowOff>
    </xdr:from>
    <xdr:to>
      <xdr:col>10</xdr:col>
      <xdr:colOff>211791</xdr:colOff>
      <xdr:row>291</xdr:row>
      <xdr:rowOff>44824</xdr:rowOff>
    </xdr:to>
    <xdr:graphicFrame macro="">
      <xdr:nvGraphicFramePr>
        <xdr:cNvPr id="12" name="Chart 11">
          <a:extLst>
            <a:ext uri="{FF2B5EF4-FFF2-40B4-BE49-F238E27FC236}">
              <a16:creationId xmlns:a16="http://schemas.microsoft.com/office/drawing/2014/main" id="{10D178AF-7CB3-46C2-BFB6-D4E554916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235324</xdr:colOff>
      <xdr:row>294</xdr:row>
      <xdr:rowOff>11206</xdr:rowOff>
    </xdr:from>
    <xdr:to>
      <xdr:col>10</xdr:col>
      <xdr:colOff>368674</xdr:colOff>
      <xdr:row>313</xdr:row>
      <xdr:rowOff>33618</xdr:rowOff>
    </xdr:to>
    <xdr:graphicFrame macro="">
      <xdr:nvGraphicFramePr>
        <xdr:cNvPr id="13" name="Chart 12">
          <a:extLst>
            <a:ext uri="{FF2B5EF4-FFF2-40B4-BE49-F238E27FC236}">
              <a16:creationId xmlns:a16="http://schemas.microsoft.com/office/drawing/2014/main" id="{D160049F-828C-4AFE-8D28-D0C0B94E4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112059</xdr:colOff>
      <xdr:row>315</xdr:row>
      <xdr:rowOff>11206</xdr:rowOff>
    </xdr:from>
    <xdr:to>
      <xdr:col>10</xdr:col>
      <xdr:colOff>245409</xdr:colOff>
      <xdr:row>334</xdr:row>
      <xdr:rowOff>33618</xdr:rowOff>
    </xdr:to>
    <xdr:graphicFrame macro="">
      <xdr:nvGraphicFramePr>
        <xdr:cNvPr id="14" name="Chart 13">
          <a:extLst>
            <a:ext uri="{FF2B5EF4-FFF2-40B4-BE49-F238E27FC236}">
              <a16:creationId xmlns:a16="http://schemas.microsoft.com/office/drawing/2014/main" id="{0237B61D-AE90-4922-AE5C-4FA6F27B4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68037</xdr:colOff>
      <xdr:row>21</xdr:row>
      <xdr:rowOff>95250</xdr:rowOff>
    </xdr:from>
    <xdr:to>
      <xdr:col>11</xdr:col>
      <xdr:colOff>201386</xdr:colOff>
      <xdr:row>40</xdr:row>
      <xdr:rowOff>133351</xdr:rowOff>
    </xdr:to>
    <xdr:graphicFrame macro="">
      <xdr:nvGraphicFramePr>
        <xdr:cNvPr id="24" name="Chart 23">
          <a:extLst>
            <a:ext uri="{FF2B5EF4-FFF2-40B4-BE49-F238E27FC236}">
              <a16:creationId xmlns:a16="http://schemas.microsoft.com/office/drawing/2014/main" id="{A2B90176-5882-4CA3-AFDB-20EA76233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340179</xdr:colOff>
      <xdr:row>8</xdr:row>
      <xdr:rowOff>43542</xdr:rowOff>
    </xdr:from>
    <xdr:to>
      <xdr:col>23</xdr:col>
      <xdr:colOff>13607</xdr:colOff>
      <xdr:row>23</xdr:row>
      <xdr:rowOff>133349</xdr:rowOff>
    </xdr:to>
    <xdr:graphicFrame macro="">
      <xdr:nvGraphicFramePr>
        <xdr:cNvPr id="26" name="Chart 25">
          <a:extLst>
            <a:ext uri="{FF2B5EF4-FFF2-40B4-BE49-F238E27FC236}">
              <a16:creationId xmlns:a16="http://schemas.microsoft.com/office/drawing/2014/main" id="{152EBE63-0354-49FE-98F9-1B8E2FBABA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27215</xdr:colOff>
      <xdr:row>46</xdr:row>
      <xdr:rowOff>149679</xdr:rowOff>
    </xdr:from>
    <xdr:to>
      <xdr:col>11</xdr:col>
      <xdr:colOff>160564</xdr:colOff>
      <xdr:row>66</xdr:row>
      <xdr:rowOff>10886</xdr:rowOff>
    </xdr:to>
    <xdr:graphicFrame macro="">
      <xdr:nvGraphicFramePr>
        <xdr:cNvPr id="27" name="Chart 26">
          <a:extLst>
            <a:ext uri="{FF2B5EF4-FFF2-40B4-BE49-F238E27FC236}">
              <a16:creationId xmlns:a16="http://schemas.microsoft.com/office/drawing/2014/main" id="{B9EFC1B2-88BB-4FA0-9132-651DAD335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489857</xdr:colOff>
      <xdr:row>0</xdr:row>
      <xdr:rowOff>13608</xdr:rowOff>
    </xdr:from>
    <xdr:to>
      <xdr:col>11</xdr:col>
      <xdr:colOff>10885</xdr:colOff>
      <xdr:row>19</xdr:row>
      <xdr:rowOff>51709</xdr:rowOff>
    </xdr:to>
    <xdr:graphicFrame macro="">
      <xdr:nvGraphicFramePr>
        <xdr:cNvPr id="28" name="Chart 27">
          <a:extLst>
            <a:ext uri="{FF2B5EF4-FFF2-40B4-BE49-F238E27FC236}">
              <a16:creationId xmlns:a16="http://schemas.microsoft.com/office/drawing/2014/main" id="{61061BA9-D04D-4740-AA22-20A4CEE06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13608</xdr:colOff>
      <xdr:row>70</xdr:row>
      <xdr:rowOff>176892</xdr:rowOff>
    </xdr:from>
    <xdr:to>
      <xdr:col>11</xdr:col>
      <xdr:colOff>146957</xdr:colOff>
      <xdr:row>90</xdr:row>
      <xdr:rowOff>38100</xdr:rowOff>
    </xdr:to>
    <xdr:graphicFrame macro="">
      <xdr:nvGraphicFramePr>
        <xdr:cNvPr id="29" name="Chart 28">
          <a:extLst>
            <a:ext uri="{FF2B5EF4-FFF2-40B4-BE49-F238E27FC236}">
              <a16:creationId xmlns:a16="http://schemas.microsoft.com/office/drawing/2014/main" id="{41D937E6-615C-432B-B75D-987E597A4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95250</xdr:colOff>
      <xdr:row>360</xdr:row>
      <xdr:rowOff>68036</xdr:rowOff>
    </xdr:from>
    <xdr:to>
      <xdr:col>10</xdr:col>
      <xdr:colOff>228600</xdr:colOff>
      <xdr:row>379</xdr:row>
      <xdr:rowOff>90449</xdr:rowOff>
    </xdr:to>
    <xdr:graphicFrame macro="">
      <xdr:nvGraphicFramePr>
        <xdr:cNvPr id="30" name="Chart 29">
          <a:extLst>
            <a:ext uri="{FF2B5EF4-FFF2-40B4-BE49-F238E27FC236}">
              <a16:creationId xmlns:a16="http://schemas.microsoft.com/office/drawing/2014/main" id="{79FD8EB9-F198-4855-91AA-5CDCD7F12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95249</xdr:colOff>
      <xdr:row>386</xdr:row>
      <xdr:rowOff>54428</xdr:rowOff>
    </xdr:from>
    <xdr:to>
      <xdr:col>10</xdr:col>
      <xdr:colOff>228599</xdr:colOff>
      <xdr:row>405</xdr:row>
      <xdr:rowOff>76841</xdr:rowOff>
    </xdr:to>
    <xdr:graphicFrame macro="">
      <xdr:nvGraphicFramePr>
        <xdr:cNvPr id="31" name="Chart 30">
          <a:extLst>
            <a:ext uri="{FF2B5EF4-FFF2-40B4-BE49-F238E27FC236}">
              <a16:creationId xmlns:a16="http://schemas.microsoft.com/office/drawing/2014/main" id="{FA390D0E-B791-414E-A6C5-07686C8EA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136072</xdr:colOff>
      <xdr:row>411</xdr:row>
      <xdr:rowOff>108857</xdr:rowOff>
    </xdr:from>
    <xdr:to>
      <xdr:col>10</xdr:col>
      <xdr:colOff>269422</xdr:colOff>
      <xdr:row>430</xdr:row>
      <xdr:rowOff>131269</xdr:rowOff>
    </xdr:to>
    <xdr:graphicFrame macro="">
      <xdr:nvGraphicFramePr>
        <xdr:cNvPr id="32" name="Chart 31">
          <a:extLst>
            <a:ext uri="{FF2B5EF4-FFF2-40B4-BE49-F238E27FC236}">
              <a16:creationId xmlns:a16="http://schemas.microsoft.com/office/drawing/2014/main" id="{B57796B3-3E26-4CF4-A96C-D1769140B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136071</xdr:colOff>
      <xdr:row>436</xdr:row>
      <xdr:rowOff>27214</xdr:rowOff>
    </xdr:from>
    <xdr:to>
      <xdr:col>10</xdr:col>
      <xdr:colOff>269421</xdr:colOff>
      <xdr:row>455</xdr:row>
      <xdr:rowOff>49627</xdr:rowOff>
    </xdr:to>
    <xdr:graphicFrame macro="">
      <xdr:nvGraphicFramePr>
        <xdr:cNvPr id="33" name="Chart 32">
          <a:extLst>
            <a:ext uri="{FF2B5EF4-FFF2-40B4-BE49-F238E27FC236}">
              <a16:creationId xmlns:a16="http://schemas.microsoft.com/office/drawing/2014/main" id="{7E6470F2-3D69-40AA-903E-9429A3728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40821</xdr:colOff>
      <xdr:row>462</xdr:row>
      <xdr:rowOff>108857</xdr:rowOff>
    </xdr:from>
    <xdr:to>
      <xdr:col>10</xdr:col>
      <xdr:colOff>174171</xdr:colOff>
      <xdr:row>481</xdr:row>
      <xdr:rowOff>131270</xdr:rowOff>
    </xdr:to>
    <xdr:graphicFrame macro="">
      <xdr:nvGraphicFramePr>
        <xdr:cNvPr id="34" name="Chart 33">
          <a:extLst>
            <a:ext uri="{FF2B5EF4-FFF2-40B4-BE49-F238E27FC236}">
              <a16:creationId xmlns:a16="http://schemas.microsoft.com/office/drawing/2014/main" id="{4F71D578-2D8E-4B28-B530-EB9E41599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54429</xdr:colOff>
      <xdr:row>488</xdr:row>
      <xdr:rowOff>13607</xdr:rowOff>
    </xdr:from>
    <xdr:to>
      <xdr:col>10</xdr:col>
      <xdr:colOff>187779</xdr:colOff>
      <xdr:row>507</xdr:row>
      <xdr:rowOff>36019</xdr:rowOff>
    </xdr:to>
    <xdr:graphicFrame macro="">
      <xdr:nvGraphicFramePr>
        <xdr:cNvPr id="35" name="Chart 34">
          <a:extLst>
            <a:ext uri="{FF2B5EF4-FFF2-40B4-BE49-F238E27FC236}">
              <a16:creationId xmlns:a16="http://schemas.microsoft.com/office/drawing/2014/main" id="{935D18D8-B8E0-43D0-B524-7CD20B592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xdr:col>
      <xdr:colOff>176893</xdr:colOff>
      <xdr:row>509</xdr:row>
      <xdr:rowOff>40822</xdr:rowOff>
    </xdr:from>
    <xdr:to>
      <xdr:col>10</xdr:col>
      <xdr:colOff>310243</xdr:colOff>
      <xdr:row>528</xdr:row>
      <xdr:rowOff>63234</xdr:rowOff>
    </xdr:to>
    <xdr:graphicFrame macro="">
      <xdr:nvGraphicFramePr>
        <xdr:cNvPr id="36" name="Chart 35">
          <a:extLst>
            <a:ext uri="{FF2B5EF4-FFF2-40B4-BE49-F238E27FC236}">
              <a16:creationId xmlns:a16="http://schemas.microsoft.com/office/drawing/2014/main" id="{1B442248-12F1-4E83-B01F-11337451B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xdr:col>
      <xdr:colOff>122464</xdr:colOff>
      <xdr:row>535</xdr:row>
      <xdr:rowOff>81643</xdr:rowOff>
    </xdr:from>
    <xdr:to>
      <xdr:col>10</xdr:col>
      <xdr:colOff>255814</xdr:colOff>
      <xdr:row>554</xdr:row>
      <xdr:rowOff>104056</xdr:rowOff>
    </xdr:to>
    <xdr:graphicFrame macro="">
      <xdr:nvGraphicFramePr>
        <xdr:cNvPr id="37" name="Chart 36">
          <a:extLst>
            <a:ext uri="{FF2B5EF4-FFF2-40B4-BE49-F238E27FC236}">
              <a16:creationId xmlns:a16="http://schemas.microsoft.com/office/drawing/2014/main" id="{2AEE576F-FF3A-4DB2-AF5E-DAF6594F1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xdr:col>
      <xdr:colOff>0</xdr:colOff>
      <xdr:row>557</xdr:row>
      <xdr:rowOff>0</xdr:rowOff>
    </xdr:from>
    <xdr:to>
      <xdr:col>10</xdr:col>
      <xdr:colOff>133350</xdr:colOff>
      <xdr:row>576</xdr:row>
      <xdr:rowOff>22412</xdr:rowOff>
    </xdr:to>
    <xdr:graphicFrame macro="">
      <xdr:nvGraphicFramePr>
        <xdr:cNvPr id="38" name="Chart 37">
          <a:extLst>
            <a:ext uri="{FF2B5EF4-FFF2-40B4-BE49-F238E27FC236}">
              <a16:creationId xmlns:a16="http://schemas.microsoft.com/office/drawing/2014/main" id="{E9F6FF53-588B-49DC-A2CC-1AA9CF17C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xdr:col>
      <xdr:colOff>152400</xdr:colOff>
      <xdr:row>338</xdr:row>
      <xdr:rowOff>0</xdr:rowOff>
    </xdr:from>
    <xdr:to>
      <xdr:col>10</xdr:col>
      <xdr:colOff>285750</xdr:colOff>
      <xdr:row>357</xdr:row>
      <xdr:rowOff>22412</xdr:rowOff>
    </xdr:to>
    <xdr:graphicFrame macro="">
      <xdr:nvGraphicFramePr>
        <xdr:cNvPr id="50" name="Chart 49">
          <a:extLst>
            <a:ext uri="{FF2B5EF4-FFF2-40B4-BE49-F238E27FC236}">
              <a16:creationId xmlns:a16="http://schemas.microsoft.com/office/drawing/2014/main" id="{62D6A03F-14E7-418B-A896-683A5A2DD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276224</xdr:colOff>
      <xdr:row>0</xdr:row>
      <xdr:rowOff>28576</xdr:rowOff>
    </xdr:from>
    <xdr:to>
      <xdr:col>10</xdr:col>
      <xdr:colOff>361949</xdr:colOff>
      <xdr:row>12</xdr:row>
      <xdr:rowOff>57150</xdr:rowOff>
    </xdr:to>
    <xdr:graphicFrame macro="">
      <xdr:nvGraphicFramePr>
        <xdr:cNvPr id="2" name="Chart 1">
          <a:extLst>
            <a:ext uri="{FF2B5EF4-FFF2-40B4-BE49-F238E27FC236}">
              <a16:creationId xmlns:a16="http://schemas.microsoft.com/office/drawing/2014/main" id="{1B0747E6-191B-401B-83F4-E6E7996C8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314325</xdr:colOff>
      <xdr:row>15</xdr:row>
      <xdr:rowOff>28575</xdr:rowOff>
    </xdr:from>
    <xdr:to>
      <xdr:col>10</xdr:col>
      <xdr:colOff>400050</xdr:colOff>
      <xdr:row>27</xdr:row>
      <xdr:rowOff>57149</xdr:rowOff>
    </xdr:to>
    <xdr:graphicFrame macro="">
      <xdr:nvGraphicFramePr>
        <xdr:cNvPr id="3" name="Chart 2">
          <a:extLst>
            <a:ext uri="{FF2B5EF4-FFF2-40B4-BE49-F238E27FC236}">
              <a16:creationId xmlns:a16="http://schemas.microsoft.com/office/drawing/2014/main" id="{C0C897A4-519D-45D3-88C4-895D4D81C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381000</xdr:colOff>
      <xdr:row>29</xdr:row>
      <xdr:rowOff>9525</xdr:rowOff>
    </xdr:from>
    <xdr:to>
      <xdr:col>10</xdr:col>
      <xdr:colOff>466725</xdr:colOff>
      <xdr:row>41</xdr:row>
      <xdr:rowOff>38099</xdr:rowOff>
    </xdr:to>
    <xdr:graphicFrame macro="">
      <xdr:nvGraphicFramePr>
        <xdr:cNvPr id="4" name="Chart 3">
          <a:extLst>
            <a:ext uri="{FF2B5EF4-FFF2-40B4-BE49-F238E27FC236}">
              <a16:creationId xmlns:a16="http://schemas.microsoft.com/office/drawing/2014/main" id="{6DC85B47-F279-4D75-8F44-EA60A638C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371475</xdr:colOff>
      <xdr:row>28</xdr:row>
      <xdr:rowOff>161925</xdr:rowOff>
    </xdr:from>
    <xdr:to>
      <xdr:col>12</xdr:col>
      <xdr:colOff>532579</xdr:colOff>
      <xdr:row>41</xdr:row>
      <xdr:rowOff>51210</xdr:rowOff>
    </xdr:to>
    <xdr:graphicFrame macro="">
      <xdr:nvGraphicFramePr>
        <xdr:cNvPr id="5" name="Chart 4">
          <a:extLst>
            <a:ext uri="{FF2B5EF4-FFF2-40B4-BE49-F238E27FC236}">
              <a16:creationId xmlns:a16="http://schemas.microsoft.com/office/drawing/2014/main" id="{3FA25B07-8E53-4918-93B0-0CD5A2FD4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284726</xdr:colOff>
      <xdr:row>41</xdr:row>
      <xdr:rowOff>67391</xdr:rowOff>
    </xdr:from>
    <xdr:to>
      <xdr:col>15</xdr:col>
      <xdr:colOff>555113</xdr:colOff>
      <xdr:row>57</xdr:row>
      <xdr:rowOff>24785</xdr:rowOff>
    </xdr:to>
    <xdr:graphicFrame macro="">
      <xdr:nvGraphicFramePr>
        <xdr:cNvPr id="6" name="Chart 5">
          <a:extLst>
            <a:ext uri="{FF2B5EF4-FFF2-40B4-BE49-F238E27FC236}">
              <a16:creationId xmlns:a16="http://schemas.microsoft.com/office/drawing/2014/main" id="{0EB6AA74-034C-48F2-A888-CCF9EBB82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60</xdr:row>
      <xdr:rowOff>0</xdr:rowOff>
    </xdr:from>
    <xdr:to>
      <xdr:col>15</xdr:col>
      <xdr:colOff>270387</xdr:colOff>
      <xdr:row>75</xdr:row>
      <xdr:rowOff>131506</xdr:rowOff>
    </xdr:to>
    <xdr:graphicFrame macro="">
      <xdr:nvGraphicFramePr>
        <xdr:cNvPr id="7" name="Chart 6">
          <a:extLst>
            <a:ext uri="{FF2B5EF4-FFF2-40B4-BE49-F238E27FC236}">
              <a16:creationId xmlns:a16="http://schemas.microsoft.com/office/drawing/2014/main" id="{BA8532A0-70AA-4580-9152-E695EDFE5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77</xdr:row>
      <xdr:rowOff>0</xdr:rowOff>
    </xdr:from>
    <xdr:to>
      <xdr:col>15</xdr:col>
      <xdr:colOff>215081</xdr:colOff>
      <xdr:row>92</xdr:row>
      <xdr:rowOff>153629</xdr:rowOff>
    </xdr:to>
    <xdr:graphicFrame macro="">
      <xdr:nvGraphicFramePr>
        <xdr:cNvPr id="8" name="Chart 7">
          <a:extLst>
            <a:ext uri="{FF2B5EF4-FFF2-40B4-BE49-F238E27FC236}">
              <a16:creationId xmlns:a16="http://schemas.microsoft.com/office/drawing/2014/main" id="{3D5D7C75-ED2F-4F3C-8914-1E4728029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471129</xdr:colOff>
      <xdr:row>94</xdr:row>
      <xdr:rowOff>81937</xdr:rowOff>
    </xdr:from>
    <xdr:to>
      <xdr:col>14</xdr:col>
      <xdr:colOff>460887</xdr:colOff>
      <xdr:row>107</xdr:row>
      <xdr:rowOff>10242</xdr:rowOff>
    </xdr:to>
    <xdr:graphicFrame macro="">
      <xdr:nvGraphicFramePr>
        <xdr:cNvPr id="9" name="Chart 8">
          <a:extLst>
            <a:ext uri="{FF2B5EF4-FFF2-40B4-BE49-F238E27FC236}">
              <a16:creationId xmlns:a16="http://schemas.microsoft.com/office/drawing/2014/main" id="{29B32104-F803-456B-87CE-744DD755E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409678</xdr:colOff>
      <xdr:row>109</xdr:row>
      <xdr:rowOff>122903</xdr:rowOff>
    </xdr:from>
    <xdr:to>
      <xdr:col>11</xdr:col>
      <xdr:colOff>570782</xdr:colOff>
      <xdr:row>124</xdr:row>
      <xdr:rowOff>163871</xdr:rowOff>
    </xdr:to>
    <xdr:graphicFrame macro="">
      <xdr:nvGraphicFramePr>
        <xdr:cNvPr id="12" name="Chart 11">
          <a:extLst>
            <a:ext uri="{FF2B5EF4-FFF2-40B4-BE49-F238E27FC236}">
              <a16:creationId xmlns:a16="http://schemas.microsoft.com/office/drawing/2014/main" id="{80D64CDF-D893-4168-A358-6DF890DCF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z" refreshedDate="46189.656752199073" createdVersion="7" refreshedVersion="7" minRefreshableVersion="3" recordCount="44" xr:uid="{8ECD50AA-DA04-4BCF-9A42-947000BB4615}">
  <cacheSource type="worksheet">
    <worksheetSource name="Form_Responses3"/>
  </cacheSource>
  <cacheFields count="26">
    <cacheField name="Timestamp" numFmtId="164">
      <sharedItems containsSemiMixedTypes="0" containsNonDate="0" containsDate="1" containsString="0" minDate="2026-03-04T12:47:12" maxDate="2026-06-02T00:27:41"/>
    </cacheField>
    <cacheField name="Yaşınız:" numFmtId="0">
      <sharedItems count="5">
        <s v="35 – 44"/>
        <s v="45 – 54"/>
        <s v="55 ve üzeri"/>
        <s v="25 – 34"/>
        <s v="18 – 24"/>
      </sharedItems>
    </cacheField>
    <cacheField name="Cinsiyetiniz:" numFmtId="0">
      <sharedItems count="3">
        <s v="Erkek"/>
        <s v="Kadın"/>
        <s v="Belirtmek istemiyorum."/>
      </sharedItems>
    </cacheField>
    <cacheField name="Güneş enerjisi sektöründeki toplam iş deneyiminiz:" numFmtId="0">
      <sharedItems count="4">
        <s v="1 – 3 yıl"/>
        <s v="5 – 10 yıl"/>
        <s v="10 yıl üzeri"/>
        <s v="3 – 5 yıl"/>
      </sharedItems>
    </cacheField>
    <cacheField name="Şu an sektörün hangi ana faaliyet alanında çalışmaktasınız? (Birden fazla alan varsa en çok zaman ayırdığınızı seçiniz): " numFmtId="0">
      <sharedItems count="9">
        <s v="Araştırma ve Geliştirme Faaliyetleri"/>
        <s v="Güneş Santrali Hizmet Sağlayıcısı (temizlik, güvenlik, vb)"/>
        <s v="Mühendislik ve Teknik Müşavirlik"/>
        <s v="Kurulum, Taahhüt, İnşaat, İşletme, Bakım ve Onarım"/>
        <s v="Hücre ve Panel Üretimi"/>
        <s v="Güneş Santrali Sistem Bileşeni Üretimi (evirici, konstrüksiyon, kablolama, vb.)"/>
        <s v="Güneş Isıl Sistem Hizmetler"/>
        <s v="Proje Geliştirme ve Danışmanlık"/>
        <s v="Denetim, Test ve Belgelendirme"/>
      </sharedItems>
    </cacheField>
    <cacheField name="Çalıştığınız firmanın toplam personel sayısı nedir?" numFmtId="0">
      <sharedItems count="6">
        <s v="1 – 9"/>
        <s v="10 – 49"/>
        <s v="500 ve üzeri"/>
        <s v="50 – 149"/>
        <s v="300 – 499"/>
        <s v="150 – 299"/>
      </sharedItems>
    </cacheField>
    <cacheField name="Tamamladığınız en yüksek eğitim seviyesini belirtiniz." numFmtId="0">
      <sharedItems count="5">
        <s v="Lisansüstü"/>
        <s v="Lisans"/>
        <s v="Ortaöğretim"/>
        <s v="Teknik Lise/ Endüstri Meslek Lisesi"/>
        <s v="Doktora"/>
      </sharedItems>
    </cacheField>
    <cacheField name="Halihazırda sahip olduğunuz mesleki sertifikalar nelerdir? (Birden fazla seçilebilir) " numFmtId="0">
      <sharedItems count="16">
        <s v="na"/>
        <s v="İş Sağlığı ve Güvenliği (İSG) Sertifikaları, Üretici Odaklı Teknik Eğitim Sertifikaları"/>
        <s v="MYK (Mesleki Yeterlilik Kurumu)  Fotovoltaik Güç Sistemleri Personeli"/>
        <s v="MYK (Mesleki Yeterlilik Kurumu)  Fotovoltaik Güç Sistemleri Personeli, (MYK) Güneş Isıl Sistem Personeli, İş Sağlığı ve Güvenliği (İSG) Sertifikaları, Ustalık Belgesi"/>
        <s v="Sertifikam bulunmuyor., "/>
        <s v="Diksiyon, Proje Yöneticiliği"/>
        <s v="Sertifikam bulunmuyor."/>
        <s v="İş Sağlığı ve Güvenliği (İSG) Sertifikaları, "/>
        <s v="İş Sağlığı ve Güvenliği (İSG) Sertifikaları"/>
        <s v="İş Sağlığı ve Güvenliği (İSG) Sertifikaları, Ustalık Belgesi"/>
        <s v="Üretici Odaklı Teknik Eğitim Sertifikaları"/>
        <s v="İş Sağlığı ve Güvenliği (İSG) Sertifikaları, Soft Skill eğitim sertifikaları"/>
        <s v="Yüksek Gerilim / EKAT Belgesi, İş Sağlığı ve Güvenliği (İSG) Sertifikaları"/>
        <s v="Mühendislik diploması"/>
        <s v="Yüksek Gerilim / EKAT Belgesi"/>
        <s v="İş Sağlığı ve Güvenliği (İSG) Sertifikaları, Ustalık Belgesi, Ges kurulum kursu"/>
      </sharedItems>
    </cacheField>
    <cacheField name="Okuduğum okullarda aldığım eğitim şu an yürüttüğüm görevle doğrudan ilişkilidir. " numFmtId="0">
      <sharedItems containsSemiMixedTypes="0" containsString="0" containsNumber="1" containsInteger="1" minValue="1" maxValue="5" count="5">
        <n v="1"/>
        <n v="5"/>
        <n v="4"/>
        <n v="3"/>
        <n v="2"/>
      </sharedItems>
    </cacheField>
    <cacheField name="Sahip olduğum mesleki sertifikalar (MYK vb.), yaptığım işin kalitesine ve iş güvenliği farkındalığıma olumlu katkı sağlıyor." numFmtId="0">
      <sharedItems containsString="0" containsBlank="1" containsNumber="1" containsInteger="1" minValue="1" maxValue="5" count="6">
        <n v="3"/>
        <n v="5"/>
        <n v="4"/>
        <m/>
        <n v="1"/>
        <n v="2"/>
      </sharedItems>
    </cacheField>
    <cacheField name="İşimdeki yenilikleri ve yeni teknolojileri öğrenebilmem için şirketim bana yeterli eğitim desteği veriyor." numFmtId="0">
      <sharedItems containsSemiMixedTypes="0" containsString="0" containsNumber="1" containsInteger="1" minValue="2" maxValue="5" count="4">
        <n v="3"/>
        <n v="5"/>
        <n v="4"/>
        <n v="2"/>
      </sharedItems>
    </cacheField>
    <cacheField name="Yaptığım işin zorluğuna, sorumluluğuma ve tecrübeme göre, aldığım maaş ve primlerin yeterli olduğunu düşünüyorum." numFmtId="0">
      <sharedItems containsSemiMixedTypes="0" containsString="0" containsNumber="1" containsInteger="1" minValue="1" maxValue="5" count="5">
        <n v="3"/>
        <n v="5"/>
        <n v="4"/>
        <n v="2"/>
        <n v="1"/>
      </sharedItems>
    </cacheField>
    <cacheField name="Çalıştığım şirket fazla mesai ve resmî tatil ödemesi veya izin kullanımı konularında çalışan haklarına uygun davranıyor.  " numFmtId="0">
      <sharedItems containsSemiMixedTypes="0" containsString="0" containsNumber="1" containsInteger="1" minValue="1" maxValue="5" count="5">
        <n v="3"/>
        <n v="5"/>
        <n v="1"/>
        <n v="2"/>
        <n v="4"/>
      </sharedItems>
    </cacheField>
    <cacheField name="Şehir dışı görevlerde sunulan konaklama, ulaşım ve harcırah imkanlarının kalite ve miktarından memnunum.  " numFmtId="0">
      <sharedItems containsSemiMixedTypes="0" containsString="0" containsNumber="1" containsInteger="1" minValue="1" maxValue="5" count="5">
        <n v="3"/>
        <n v="5"/>
        <n v="4"/>
        <n v="1"/>
        <n v="2"/>
      </sharedItems>
    </cacheField>
    <cacheField name="Mevcut teknik bilgi ve tecrübem sayesinde işsiz kalma endişem yoktur.  " numFmtId="0">
      <sharedItems containsSemiMixedTypes="0" containsString="0" containsNumber="1" containsInteger="1" minValue="1" maxValue="5" count="5">
        <n v="3"/>
        <n v="5"/>
        <n v="4"/>
        <n v="1"/>
        <n v="2"/>
      </sharedItems>
    </cacheField>
    <cacheField name="Şirketinizin piyasadaki durumu ve proje alma potansiyeli sayesinde işsiz kalma endişem yoktur.  " numFmtId="0">
      <sharedItems containsSemiMixedTypes="0" containsString="0" containsNumber="1" containsInteger="1" minValue="1" maxValue="5" count="5">
        <n v="3"/>
        <n v="5"/>
        <n v="4"/>
        <n v="2"/>
        <n v="1"/>
      </sharedItems>
    </cacheField>
    <cacheField name="Güneş enerjisi gibi temiz geleceğe hizmet eden bir sektörde çalışmak iş memnuniyetime önemli ölçüde katkı sağlıyor." numFmtId="0">
      <sharedItems containsSemiMixedTypes="0" containsString="0" containsNumber="1" containsInteger="1" minValue="1" maxValue="5" count="4">
        <n v="3"/>
        <n v="5"/>
        <n v="4"/>
        <n v="1"/>
      </sharedItems>
    </cacheField>
    <cacheField name="Mevsimsel yoğunluklar ve saha çalışmaları, işimle özel hayatım arasındaki dengeyi olumsuz etkiliyor." numFmtId="0">
      <sharedItems containsSemiMixedTypes="0" containsString="0" containsNumber="1" containsInteger="1" minValue="1" maxValue="5" count="5">
        <n v="3"/>
        <n v="1"/>
        <n v="2"/>
        <n v="4"/>
        <n v="5"/>
      </sharedItems>
    </cacheField>
    <cacheField name="Türkiye’deki güneş enerjisi sektörünün önümüzdeki 10 yıl içinde istikrarlı bir şekilde büyüyeceğine ve uzun vadeli bir kariyer için güvenli bir alan olduğunda inanıyorum." numFmtId="0">
      <sharedItems containsSemiMixedTypes="0" containsString="0" containsNumber="1" containsInteger="1" minValue="1" maxValue="5" count="5">
        <n v="4"/>
        <n v="5"/>
        <n v="3"/>
        <n v="1"/>
        <n v="2"/>
      </sharedItems>
    </cacheField>
    <cacheField name="Projeler kapsamında farklı konumlarda (şehir dışı/yurt dışı) görev alma konusunda çekincem yoktur. " numFmtId="0">
      <sharedItems containsSemiMixedTypes="0" containsString="0" containsNumber="1" containsInteger="1" minValue="1" maxValue="5" count="5">
        <n v="5"/>
        <n v="4"/>
        <n v="1"/>
        <n v="2"/>
        <n v="3"/>
      </sharedItems>
    </cacheField>
    <cacheField name="Önümüzdeki 2 yıllık süreçte, mesleki yetkinliklerimi artırmaya yönelik (eğitim, sertifika vb.) girişimlerde bulunmayı planlıyorum." numFmtId="0">
      <sharedItems containsSemiMixedTypes="0" containsString="0" containsNumber="1" containsInteger="1" minValue="1" maxValue="5" count="5">
        <n v="5"/>
        <n v="4"/>
        <n v="2"/>
        <n v="3"/>
        <n v="1"/>
      </sharedItems>
    </cacheField>
    <cacheField name="Taşeron (alt yüklenici) bir firmada çalışıyor olmanızın, iş sürekliliğiniz (her zaman iş bulabilme) üzerindeki etkisi nedir?  " numFmtId="0">
      <sharedItems count="4">
        <s v="Sadece proje dönemlerinde çalıştığım için bu durumu normal karşılıyorum."/>
        <s v="Hayır, taşeron olmamın bir önemi yok; işim her zaman hazır."/>
        <s v="Taşeron firmada çalışmıyorum, iş yerinde kadrolu olarak çalışıyorum."/>
        <s v="Ana şirketin projelerine bağlı olduğum için iş sürekliliğini riskli buluyorum."/>
      </sharedItems>
    </cacheField>
    <cacheField name="Güneş enerjisi sektöründeki maaş seviyelerini; bildiğiniz veya deneyimlediğiniz diğer sektörlerle (inşaat, elektrik vb.) kıyasladığınızda nasıl buluyorsunuz? " numFmtId="0">
      <sharedItems count="4">
        <s v="Bilgi sahibi değilim"/>
        <s v="Diğer sektörlerle benzer seviyede."/>
        <s v="Diğer sektörlerden daha düşük."/>
        <s v="Diğer sektörlerden daha yüksek."/>
      </sharedItems>
    </cacheField>
    <cacheField name="Güneş enerjisi sektöründeki kariyerinizi uzun vadeli sürdürmenizde aşağıdaki imkanlardan hangisi en belirleyici etkendir?  " numFmtId="0">
      <sharedItems count="15">
        <s v="Taşeron sisteminden kaynaklı belirsizlikler"/>
        <s v="İş Güvenliği Uygulamalarının Her gün Daha da Benimsenmesi"/>
        <s v="Meslekî gelişim olanaklarının kısıtlı olması"/>
        <s v=" "/>
        <s v="Maaş ve yan hakların diğer sektörlerin gerisinde kalması"/>
        <s v="Yan hakların (sağlık sigortası, yol/yemek, ikramiye vb.) çeşitliliği"/>
        <s v="Sektördeki teknolojik değişim hızına ayak uyduramama endişesi"/>
        <s v="Sektörün teorik içeriği, üretim imkanları"/>
        <s v="Politikalar sebebiyle sektörün sürdürülebilirliğine inancım yok"/>
        <s v="İş güvencesi eksikliği (işin sürekli olmaması, sözleşmelerin proje bazlı olması)"/>
        <s v="Çalışıtığm firmanın uzun vadeli yatuırımlar yaparak geleceği garanti altına laması ve maaş ve yan haklarını sağlaması"/>
        <s v="Yenilenebilir Enerji'nin çevreye ve insanlara faydalı olduğu için"/>
        <s v="Soru ve cevaplar uyuşmuyor"/>
        <s v="Dünya dışı kaynaktan gelen enerjinin elektriksel dönüşümündeki gelişim."/>
        <s v="İlk hedef alacağım diğer proje ve ya görevin şuan yürütmekte olan görevimden bilgi ve tecrübemi üst seviyeye çıkartması ikincil hedef maaş ve yan haklar  "/>
      </sharedItems>
    </cacheField>
    <cacheField name="Önümüzdeki 5 yıllık süreçte profesyonel kariyerinizi hangi alanda sürdürmeyi planlıyorsunuz? " numFmtId="0">
      <sharedItems count="6">
        <s v="Güneş enerjisi sektöründe kalarak, yeni teknolojilere ve uzmanlık alanlarına yönelmek."/>
        <s v="Jeotermal enerji çalışmalarına hız vereceğim."/>
        <s v="Güneş enerjisi sektöründe kalarak, mevcut rolümde uzmanlaşmaya devam etmek."/>
        <s v="Güneş enerjisi sektöründe kalarak, yönetimsel (ekip lideri, şef, müdür vb.) sorumluluklar üstlenmek."/>
        <s v="Güneş enerjisi sektörü dışındaki farklı bir alana veya sektöre geçiş yapmak."/>
        <s v="1 ve 3"/>
      </sharedItems>
    </cacheField>
    <cacheField name="Proje: Bu çalışma ODTÜ, ODTÜ-GÜNAM, GÜNDER ve TÜBİTAK'ın da katılımcıları arasında yer aldığı, Avrupa Komisyonu tarafından desteklenen SolarHub Projesi (101086110) kapsamında yürütülmektedir._x000a_Bilgilerin Doğruluğu: Tarafınızca sağlanan bilgilerin, bilginiz"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z" refreshedDate="46232.702798958337" createdVersion="7" refreshedVersion="7" minRefreshableVersion="3" recordCount="20" xr:uid="{87BA067A-CC67-4195-A76A-4DC9CE98FBA7}">
  <cacheSource type="worksheet">
    <worksheetSource ref="A1:AT21" sheet="İşveren dahil edilenler"/>
  </cacheSource>
  <cacheFields count="46">
    <cacheField name="Timestamp" numFmtId="164">
      <sharedItems containsSemiMixedTypes="0" containsNonDate="0" containsDate="1" containsString="0" minDate="2026-03-04T15:12:02" maxDate="2026-07-13T12:47:29"/>
    </cacheField>
    <cacheField name="Firmanızın en çok çalışan istihdam edilen faaliyet alanını seçiniz." numFmtId="0">
      <sharedItems count="8">
        <s v="Mühendislik ve Teknik Müşavirlik"/>
        <s v="Güneş Santrali Sistem Bileşeni Üretimi (evirici, konstrüksiyon, kablolama, vb.)"/>
        <s v="Kurulum, Taahhüt, İnşaat, İşletme, Bakım ve Onarım"/>
        <s v="Hücre ve Panel Üretimi"/>
        <s v="Yazılım ve Dijitalleşme Hizmetleri"/>
        <s v="Güneş Santrali Hizmet Sağlayıcısı (temizlik, güvenlik, vb)"/>
        <s v="Proje Geliştirme ve Danışmanlık"/>
        <s v="Güneş Santralı Yatırımcısı"/>
      </sharedItems>
    </cacheField>
    <cacheField name="Firmanızın faaliyet gösterdiği diğer alanları işaretleyiniz._x000a_(Birden fazla seçebilirsiniz)" numFmtId="0">
      <sharedItems longText="1"/>
    </cacheField>
    <cacheField name="Şirketiniz güneş enerjisi alanında kaç yıldır faaliyet gösteriyor?" numFmtId="0">
      <sharedItems count="4">
        <s v="4 - 7 yıl"/>
        <s v="12 - 15 yıl"/>
        <s v="8 - 11 yıl"/>
        <s v="0 - 3 yıl"/>
      </sharedItems>
    </cacheField>
    <cacheField name="Şirketinizin toplam çalışan sayısı kaç kişidir? " numFmtId="0">
      <sharedItems containsSemiMixedTypes="0" containsString="0" containsNumber="1" containsInteger="1" minValue="5" maxValue="650"/>
    </cacheField>
    <cacheField name="Seçtiğiniz ana faaliyet alanındaki yaklaşık yıllık iş hacminizi birim belirterek giriniz (örn: 500 MWp/yıl, 100.000 panel/yıl)." numFmtId="0">
      <sharedItems containsMixedTypes="1" containsNumber="1" containsInteger="1" minValue="50" maxValue="2500" count="18">
        <s v="evsel günde 20 proje çizimi"/>
        <s v="400 MWp/yıl"/>
        <n v="50"/>
        <s v="800 MW/yıl"/>
        <s v="Yaklaşık 150 MWh/yıl"/>
        <s v="20 MWp"/>
        <s v="100 MWp/yıl"/>
        <s v="1500 MWp/yık"/>
        <s v="250 mwp/yil"/>
        <s v="5 MWp /yıl"/>
        <s v="10 MWp/yıl"/>
        <n v="2500"/>
        <s v="15 MWp/yıl"/>
        <s v="500 MWp/yıl"/>
        <s v="500 Mwp"/>
        <s v="2GW"/>
        <s v="1000 MWp/Yıl, 1.600.000 panel/Yıl"/>
        <s v="400 MWp"/>
      </sharedItems>
    </cacheField>
    <cacheField name="Şirket operasyonlarınızın (kurulum, işletme, danışmanlık, vb.) yüzde kaçlık oranı çalışanlarınız tarafında yurt dışında gerçekleştirilmektedir?" numFmtId="0">
      <sharedItems count="3">
        <s v="%80'den fazlası"/>
        <s v="%20'den azı"/>
        <s v="%40 - %60 arası"/>
      </sharedItems>
    </cacheField>
    <cacheField name="Firmanızda çalışan personelin faaliyet alanlarına göre dağılımını yaklaşık yüzde (%) olarak belirtiniz.  [Proje Geliştirme ve Mühendislik Tasarımı]" numFmtId="0">
      <sharedItems/>
    </cacheField>
    <cacheField name="Firmanızda çalışan personelin faaliyet alanlarına göre dağılımını yaklaşık yüzde (%) olarak belirtiniz.  [Kurulum, Taahhüt, İnşaat, İşletme, Bakım ve Onarım]" numFmtId="0">
      <sharedItems/>
    </cacheField>
    <cacheField name="Firmanızda çalışan personelin faaliyet alanlarına göre dağılımını yaklaşık yüzde (%) olarak belirtiniz.  [Panel, Hücre ve Diğer Üretim Hatlarında Çalışanlar]" numFmtId="0">
      <sharedItems/>
    </cacheField>
    <cacheField name="Firmanızda çalışan personelin faaliyet alanlarına göre dağılımını yaklaşık yüzde (%) olarak belirtiniz.  [İdari Hizmetler]" numFmtId="0">
      <sharedItems/>
    </cacheField>
    <cacheField name="Firmanızda çalışan personelin faaliyet alanlarına göre dağılımını yaklaşık yüzde (%) olarak belirtiniz.  [Satış Hizmetleri]" numFmtId="0">
      <sharedItems/>
    </cacheField>
    <cacheField name="İstihdam ettiğiniz toplam iş gücünün akademik/teknik eğitim seviyesine göre dağılımını yaklaşık yüzde (%) olarak belirtiniz.  [Doktora]" numFmtId="0">
      <sharedItems count="1">
        <s v="%0-20 arası"/>
      </sharedItems>
    </cacheField>
    <cacheField name="İstihdam ettiğiniz toplam iş gücünün akademik/teknik eğitim seviyesine göre dağılımını yaklaşık yüzde (%) olarak belirtiniz.  [Lisansüstü]" numFmtId="0">
      <sharedItems count="3">
        <s v="%21-40 arası"/>
        <s v="%0-20 arası"/>
        <s v="%41-60 arası"/>
      </sharedItems>
    </cacheField>
    <cacheField name="İstihdam ettiğiniz toplam iş gücünün akademik/teknik eğitim seviyesine göre dağılımını yaklaşık yüzde (%) olarak belirtiniz.  [Lisans Mezunu]" numFmtId="0">
      <sharedItems count="4">
        <s v="%61'den fazla"/>
        <s v="%21-40 arası"/>
        <s v="%0-20 arası"/>
        <s v="%41-60 arası"/>
      </sharedItems>
    </cacheField>
    <cacheField name="İstihdam ettiğiniz toplam iş gücünün akademik/teknik eğitim seviyesine göre dağılımını yaklaşık yüzde (%) olarak belirtiniz.  [Ön Lisans/ Meslek Yüksekokulu]" numFmtId="0">
      <sharedItems count="3">
        <s v="%0-20 arası"/>
        <s v="%41-60 arası"/>
        <s v="%21-40 arası"/>
      </sharedItems>
    </cacheField>
    <cacheField name="İstihdam ettiğiniz toplam iş gücünün akademik/teknik eğitim seviyesine göre dağılımını yaklaşık yüzde (%) olarak belirtiniz.  [Ortaöğretim]" numFmtId="0">
      <sharedItems/>
    </cacheField>
    <cacheField name="İstihdam ettiğiniz toplam iş gücünün akademik/teknik eğitim seviyesine göre dağılımını yaklaşık yüzde (%) olarak belirtiniz.  [İlköğretim]" numFmtId="0">
      <sharedItems/>
    </cacheField>
    <cacheField name="Aşağıdaki çalışan gruplarının son 3 yıl içindeki yıllık ortalama çalışan devir oranı* (turnover rate) nasıl tanımlarsınız?  [Üst/Orta Düzey Yönetici ve Strateji Planlama]" numFmtId="0">
      <sharedItems/>
    </cacheField>
    <cacheField name="Aşağıdaki çalışan gruplarının son 3 yıl içindeki yıllık ortalama çalışan devir oranı* (turnover rate) nasıl tanımlarsınız?  [Proje Uzmanı / Mühendis]" numFmtId="0">
      <sharedItems/>
    </cacheField>
    <cacheField name="Aşağıdaki çalışan gruplarının son 3 yıl içindeki yıllık ortalama çalışan devir oranı* (turnover rate) nasıl tanımlarsınız?  [Ar-Ge Mühendisi]" numFmtId="0">
      <sharedItems/>
    </cacheField>
    <cacheField name="Aşağıdaki çalışan gruplarının son 3 yıl içindeki yıllık ortalama çalışan devir oranı* (turnover rate) nasıl tanımlarsınız?  [Proje Teknik Personeli]" numFmtId="0">
      <sharedItems/>
    </cacheField>
    <cacheField name="Aşağıdaki çalışan gruplarının son 3 yıl içindeki yıllık ortalama çalışan devir oranı* (turnover rate) nasıl tanımlarsınız?  [Giriş Seviyesi Mühendisler]" numFmtId="0">
      <sharedItems/>
    </cacheField>
    <cacheField name="Aşağıdaki çalışan gruplarının son 3 yıl içindeki yıllık ortalama çalışan devir oranı* (turnover rate) nasıl tanımlarsınız?  [Uzman Teknisyen ve Operatörler]" numFmtId="0">
      <sharedItems/>
    </cacheField>
    <cacheField name="Aşağıdaki çalışan gruplarının son 3 yıl içindeki yıllık ortalama çalışan devir oranı* (turnover rate) nasıl tanımlarsınız?  [Saha elemanı (Vasıfsız İşçi)]" numFmtId="0">
      <sharedItems/>
    </cacheField>
    <cacheField name="Aşağıdaki çalışan gruplarının son 3 yıl içindeki yıllık ortalama çalışan devir oranı* (turnover rate) nasıl tanımlarsınız?  [İdari Personel]" numFmtId="0">
      <sharedItems/>
    </cacheField>
    <cacheField name="Toplam iş gücünüzün istihdam türüne göre yaklaşık yüzde (%) dağılımını belirtiniz [Tam Zamanlı/Kadrolu]" numFmtId="0">
      <sharedItems/>
    </cacheField>
    <cacheField name="Toplam iş gücünüzün istihdam türüne göre yaklaşık yüzde (%) dağılımını belirtiniz [Proje Bazlı/ Geçici]" numFmtId="0">
      <sharedItems/>
    </cacheField>
    <cacheField name="Şirketinizdeki kadın çalışan oranı yaklaşık olarak nedir? [Teknik Pozisyonlar]" numFmtId="0">
      <sharedItems/>
    </cacheField>
    <cacheField name="Şirketinizdeki kadın çalışan oranı yaklaşık olarak nedir? [Yönetim ve İdari Pozisyonlar ]" numFmtId="0">
      <sharedItems/>
    </cacheField>
    <cacheField name="Mesleki yeterlilik kuruluşlarından belgelendirilmiş personelin saha performansı, şirketimizin kalite standartlarını ve uluslararası uygulama kriterlerini karşılamaktadır." numFmtId="0">
      <sharedItems containsSemiMixedTypes="0" containsString="0" containsNumber="1" containsInteger="1" minValue="1" maxValue="5"/>
    </cacheField>
    <cacheField name="Yetişmiş personelimizin rakip firmalar tarafından transfer edilme sıklığı oldukça yüksektir. " numFmtId="0">
      <sharedItems containsSemiMixedTypes="0" containsString="0" containsNumber="1" containsInteger="1" minValue="1" maxValue="5"/>
    </cacheField>
    <cacheField name="Yeni mezun mühendis ve teknik personel adaylarının “göreve hazır bulunuşluk” düzeyleri ile üniversite müfredatının sahadaki teknik sorunları çözmedeki yeterliliği firmamızın beklentilerini karşılamaktadır. " numFmtId="0">
      <sharedItems containsSemiMixedTypes="0" containsString="0" containsNumber="1" containsInteger="1" minValue="1" maxValue="5" count="4">
        <n v="1"/>
        <n v="5"/>
        <n v="3"/>
        <n v="2"/>
      </sharedItems>
    </cacheField>
    <cacheField name="Ülkemizdeki mevzuatın karmaşıklığı firmamızın uzun vadeli istihdam ve insan kaynağı stratejilerini olumsuz etkilemektedir." numFmtId="0">
      <sharedItems containsSemiMixedTypes="0" containsString="0" containsNumber="1" containsInteger="1" minValue="1" maxValue="5"/>
    </cacheField>
    <cacheField name="Yetişmiş teknik personelimizin güneş enerjisi sektörü dışındaki alanlara (yazılım, inşaat, otomotiv vb.) geçiş yapma oranı yüksektir." numFmtId="0">
      <sharedItems containsSemiMixedTypes="0" containsString="0" containsNumber="1" containsInteger="1" minValue="1" maxValue="5"/>
    </cacheField>
    <cacheField name="Projelerimizin bölgesel dağılımındaki dengesizliklerin ve mevsimsel iş yoğunluğunun yarattığı “saha yorgunluğunu” önlemek adına rotasyon veya ek dinlenme süreleri gibi somut politikalar uygulamaktayız." numFmtId="0">
      <sharedItems containsSemiMixedTypes="0" containsString="0" containsNumber="1" containsInteger="1" minValue="1" maxValue="5"/>
    </cacheField>
    <cacheField name="Aşağıdaki pozisyon gruplarından hangisinde nitelikli aday bulmakta en fazla zorluk yaşamaktasınız? " numFmtId="0">
      <sharedItems/>
    </cacheField>
    <cacheField name="Teknik personel alım süreçlerinde karşılaştığınız en önemli 3 engel aşağıdakilerden hangisidir? " numFmtId="0">
      <sharedItems/>
    </cacheField>
    <cacheField name="Son 3 yıl içerisinde firmanızın iş hacmindeki değişim ile personel sayınızdaki değişim arasındaki ilişkiyi en iyi hangisi tanımlar? " numFmtId="0">
      <sharedItems/>
    </cacheField>
    <cacheField name="Personelinize yönelik kurum içi mesleki ve teknik eğitim programı uygulamalarında çalışan başına düşen yıllık ortalama eğitim süresini belirtiniz? " numFmtId="0">
      <sharedItems/>
    </cacheField>
    <cacheField name="Firmanızın beceri açığını kapatmak adına eğitim ve akademik kurumlarla yürüttüğü iş birliği modellerinden hangisi en yüksek verimliliği sağlamaktadır? " numFmtId="0">
      <sharedItems/>
    </cacheField>
    <cacheField name="İstifa eden personelin sunduğu temel gerekçeler arasında en baskın olanı hangisidir? " numFmtId="0">
      <sharedItems/>
    </cacheField>
    <cacheField name="Çalışan bağlılığını arttırmak için şirketinizde kullanılan en etkili yöntemleri seçiniz? " numFmtId="0">
      <sharedItems/>
    </cacheField>
    <cacheField name="Türkiye'nin 2035 hedefleri doğrultusunda sektörün giderek olgunlaşmasıyla birlikte, önümüzdeki yıllar içinde istihdamın hangi alanlarda yoğunlaşacağını düşünüyorsunuz? " numFmtId="0">
      <sharedItems/>
    </cacheField>
    <cacheField name="Önümüzdeki 2 yılda, firmanızın mevcut istihdam hacminde öngördüğünüz değişim oranı nedir? " numFmtId="0">
      <sharedItems count="5">
        <s v="%25'ten fazla artış"/>
        <s v="%0-25 arasında artış"/>
        <s v="%0-25 arasında azalma"/>
        <s v="%25'ten fazla azalma"/>
        <s v="Sabit"/>
      </sharedItems>
    </cacheField>
    <cacheField name="Önümüzdeki 2 yıllık süreçteki istihdam değişim öngörünüzü etkileyen en önemli 3 faktörü seçiniz."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
  <r>
    <d v="2026-03-04T12:47:12"/>
    <x v="0"/>
    <x v="0"/>
    <x v="0"/>
    <x v="0"/>
    <x v="0"/>
    <x v="0"/>
    <x v="0"/>
    <x v="0"/>
    <x v="0"/>
    <x v="0"/>
    <x v="0"/>
    <x v="0"/>
    <x v="0"/>
    <x v="0"/>
    <x v="0"/>
    <x v="0"/>
    <x v="0"/>
    <x v="0"/>
    <x v="0"/>
    <x v="0"/>
    <x v="0"/>
    <x v="0"/>
    <x v="0"/>
    <x v="0"/>
    <s v="Açıklamaları anladım ve kabul ederek anketi tamamlıyorum."/>
  </r>
  <r>
    <d v="2026-03-04T12:49:30"/>
    <x v="1"/>
    <x v="0"/>
    <x v="1"/>
    <x v="1"/>
    <x v="1"/>
    <x v="0"/>
    <x v="1"/>
    <x v="1"/>
    <x v="1"/>
    <x v="1"/>
    <x v="1"/>
    <x v="1"/>
    <x v="1"/>
    <x v="1"/>
    <x v="1"/>
    <x v="1"/>
    <x v="1"/>
    <x v="1"/>
    <x v="0"/>
    <x v="0"/>
    <x v="1"/>
    <x v="0"/>
    <x v="1"/>
    <x v="0"/>
    <s v="Açıklamaları anladım ve kabul ederek anketi tamamlıyorum."/>
  </r>
  <r>
    <d v="2026-03-04T13:40:17"/>
    <x v="2"/>
    <x v="0"/>
    <x v="2"/>
    <x v="2"/>
    <x v="0"/>
    <x v="1"/>
    <x v="1"/>
    <x v="2"/>
    <x v="2"/>
    <x v="1"/>
    <x v="1"/>
    <x v="1"/>
    <x v="1"/>
    <x v="1"/>
    <x v="1"/>
    <x v="1"/>
    <x v="2"/>
    <x v="1"/>
    <x v="0"/>
    <x v="0"/>
    <x v="2"/>
    <x v="1"/>
    <x v="2"/>
    <x v="1"/>
    <s v="Açıklamaları anladım ve kabul ederek anketi tamamlıyorum."/>
  </r>
  <r>
    <d v="2026-03-04T13:41:34"/>
    <x v="0"/>
    <x v="0"/>
    <x v="2"/>
    <x v="3"/>
    <x v="1"/>
    <x v="1"/>
    <x v="2"/>
    <x v="2"/>
    <x v="1"/>
    <x v="1"/>
    <x v="2"/>
    <x v="1"/>
    <x v="1"/>
    <x v="1"/>
    <x v="2"/>
    <x v="1"/>
    <x v="2"/>
    <x v="0"/>
    <x v="1"/>
    <x v="0"/>
    <x v="2"/>
    <x v="2"/>
    <x v="3"/>
    <x v="0"/>
    <s v="Açıklamaları anladım ve kabul ederek anketi tamamlıyorum."/>
  </r>
  <r>
    <d v="2026-03-04T13:43:31"/>
    <x v="0"/>
    <x v="0"/>
    <x v="3"/>
    <x v="2"/>
    <x v="1"/>
    <x v="0"/>
    <x v="1"/>
    <x v="3"/>
    <x v="0"/>
    <x v="2"/>
    <x v="2"/>
    <x v="1"/>
    <x v="1"/>
    <x v="2"/>
    <x v="2"/>
    <x v="1"/>
    <x v="3"/>
    <x v="1"/>
    <x v="1"/>
    <x v="1"/>
    <x v="2"/>
    <x v="1"/>
    <x v="4"/>
    <x v="2"/>
    <s v="Açıklamaları anladım ve kabul ederek anketi tamamlıyorum."/>
  </r>
  <r>
    <d v="2026-03-05T12:50:46"/>
    <x v="3"/>
    <x v="0"/>
    <x v="3"/>
    <x v="4"/>
    <x v="2"/>
    <x v="1"/>
    <x v="3"/>
    <x v="3"/>
    <x v="2"/>
    <x v="2"/>
    <x v="2"/>
    <x v="1"/>
    <x v="2"/>
    <x v="1"/>
    <x v="1"/>
    <x v="2"/>
    <x v="2"/>
    <x v="2"/>
    <x v="0"/>
    <x v="1"/>
    <x v="2"/>
    <x v="2"/>
    <x v="5"/>
    <x v="3"/>
    <s v="Açıklamaları anladım ve kabul ederek anketi tamamlıyorum."/>
  </r>
  <r>
    <d v="2026-03-05T13:14:17"/>
    <x v="3"/>
    <x v="0"/>
    <x v="1"/>
    <x v="4"/>
    <x v="2"/>
    <x v="1"/>
    <x v="4"/>
    <x v="2"/>
    <x v="0"/>
    <x v="2"/>
    <x v="2"/>
    <x v="1"/>
    <x v="2"/>
    <x v="2"/>
    <x v="1"/>
    <x v="1"/>
    <x v="2"/>
    <x v="0"/>
    <x v="1"/>
    <x v="1"/>
    <x v="2"/>
    <x v="1"/>
    <x v="6"/>
    <x v="3"/>
    <s v="Açıklamaları anladım ve kabul ederek anketi tamamlıyorum."/>
  </r>
  <r>
    <d v="2026-03-05T13:49:04"/>
    <x v="0"/>
    <x v="1"/>
    <x v="2"/>
    <x v="0"/>
    <x v="0"/>
    <x v="0"/>
    <x v="5"/>
    <x v="3"/>
    <x v="0"/>
    <x v="3"/>
    <x v="3"/>
    <x v="2"/>
    <x v="0"/>
    <x v="2"/>
    <x v="3"/>
    <x v="2"/>
    <x v="1"/>
    <x v="3"/>
    <x v="2"/>
    <x v="2"/>
    <x v="2"/>
    <x v="0"/>
    <x v="4"/>
    <x v="3"/>
    <s v="Açıklamaları anladım ve kabul ederek anketi tamamlıyorum."/>
  </r>
  <r>
    <d v="2026-03-05T13:57:30"/>
    <x v="0"/>
    <x v="1"/>
    <x v="3"/>
    <x v="1"/>
    <x v="1"/>
    <x v="1"/>
    <x v="6"/>
    <x v="3"/>
    <x v="3"/>
    <x v="0"/>
    <x v="4"/>
    <x v="3"/>
    <x v="2"/>
    <x v="2"/>
    <x v="4"/>
    <x v="3"/>
    <x v="0"/>
    <x v="4"/>
    <x v="0"/>
    <x v="0"/>
    <x v="2"/>
    <x v="2"/>
    <x v="4"/>
    <x v="4"/>
    <s v="Açıklamaları anladım ve kabul ederek anketi tamamlıyorum."/>
  </r>
  <r>
    <d v="2026-03-06T13:31:10"/>
    <x v="0"/>
    <x v="1"/>
    <x v="0"/>
    <x v="5"/>
    <x v="1"/>
    <x v="1"/>
    <x v="7"/>
    <x v="2"/>
    <x v="2"/>
    <x v="0"/>
    <x v="0"/>
    <x v="1"/>
    <x v="2"/>
    <x v="1"/>
    <x v="2"/>
    <x v="2"/>
    <x v="2"/>
    <x v="2"/>
    <x v="0"/>
    <x v="0"/>
    <x v="2"/>
    <x v="2"/>
    <x v="2"/>
    <x v="2"/>
    <s v="Açıklamaları anladım ve kabul ederek anketi tamamlıyorum."/>
  </r>
  <r>
    <d v="2026-03-10T11:17:41"/>
    <x v="0"/>
    <x v="0"/>
    <x v="2"/>
    <x v="4"/>
    <x v="3"/>
    <x v="1"/>
    <x v="6"/>
    <x v="3"/>
    <x v="0"/>
    <x v="2"/>
    <x v="3"/>
    <x v="1"/>
    <x v="0"/>
    <x v="1"/>
    <x v="2"/>
    <x v="1"/>
    <x v="3"/>
    <x v="2"/>
    <x v="1"/>
    <x v="1"/>
    <x v="2"/>
    <x v="2"/>
    <x v="7"/>
    <x v="0"/>
    <s v="Açıklamaları anladım ve kabul ederek anketi tamamlıyorum."/>
  </r>
  <r>
    <d v="2026-03-10T11:54:26"/>
    <x v="2"/>
    <x v="1"/>
    <x v="2"/>
    <x v="4"/>
    <x v="3"/>
    <x v="1"/>
    <x v="6"/>
    <x v="1"/>
    <x v="3"/>
    <x v="1"/>
    <x v="1"/>
    <x v="1"/>
    <x v="1"/>
    <x v="1"/>
    <x v="1"/>
    <x v="1"/>
    <x v="2"/>
    <x v="3"/>
    <x v="0"/>
    <x v="3"/>
    <x v="2"/>
    <x v="1"/>
    <x v="8"/>
    <x v="4"/>
    <s v="Açıklamaları anladım ve kabul ederek anketi tamamlıyorum."/>
  </r>
  <r>
    <d v="2026-03-13T14:08:31"/>
    <x v="4"/>
    <x v="0"/>
    <x v="3"/>
    <x v="3"/>
    <x v="0"/>
    <x v="2"/>
    <x v="8"/>
    <x v="4"/>
    <x v="2"/>
    <x v="1"/>
    <x v="2"/>
    <x v="1"/>
    <x v="1"/>
    <x v="0"/>
    <x v="1"/>
    <x v="1"/>
    <x v="0"/>
    <x v="1"/>
    <x v="1"/>
    <x v="1"/>
    <x v="0"/>
    <x v="0"/>
    <x v="4"/>
    <x v="3"/>
    <s v="Açıklamaları anladım ve kabul ederek anketi tamamlıyorum."/>
  </r>
  <r>
    <d v="2026-03-13T14:19:33"/>
    <x v="4"/>
    <x v="0"/>
    <x v="0"/>
    <x v="3"/>
    <x v="0"/>
    <x v="3"/>
    <x v="9"/>
    <x v="1"/>
    <x v="1"/>
    <x v="1"/>
    <x v="1"/>
    <x v="1"/>
    <x v="1"/>
    <x v="1"/>
    <x v="1"/>
    <x v="1"/>
    <x v="1"/>
    <x v="1"/>
    <x v="0"/>
    <x v="0"/>
    <x v="1"/>
    <x v="1"/>
    <x v="5"/>
    <x v="0"/>
    <s v="Açıklamaları anladım ve kabul ederek anketi tamamlıyorum."/>
  </r>
  <r>
    <d v="2026-03-13T14:20:26"/>
    <x v="4"/>
    <x v="0"/>
    <x v="0"/>
    <x v="3"/>
    <x v="0"/>
    <x v="3"/>
    <x v="9"/>
    <x v="1"/>
    <x v="1"/>
    <x v="1"/>
    <x v="1"/>
    <x v="1"/>
    <x v="1"/>
    <x v="1"/>
    <x v="1"/>
    <x v="1"/>
    <x v="1"/>
    <x v="1"/>
    <x v="0"/>
    <x v="0"/>
    <x v="1"/>
    <x v="1"/>
    <x v="5"/>
    <x v="0"/>
    <s v="Açıklamaları anladım ve kabul ederek anketi tamamlıyorum."/>
  </r>
  <r>
    <d v="2026-04-10T12:13:24"/>
    <x v="1"/>
    <x v="0"/>
    <x v="1"/>
    <x v="6"/>
    <x v="0"/>
    <x v="1"/>
    <x v="8"/>
    <x v="1"/>
    <x v="1"/>
    <x v="1"/>
    <x v="1"/>
    <x v="1"/>
    <x v="1"/>
    <x v="1"/>
    <x v="1"/>
    <x v="1"/>
    <x v="1"/>
    <x v="0"/>
    <x v="0"/>
    <x v="0"/>
    <x v="2"/>
    <x v="2"/>
    <x v="9"/>
    <x v="2"/>
    <s v="Açıklamaları anladım ve kabul ederek anketi tamamlıyorum."/>
  </r>
  <r>
    <d v="2026-04-20T12:39:46"/>
    <x v="3"/>
    <x v="1"/>
    <x v="3"/>
    <x v="7"/>
    <x v="0"/>
    <x v="1"/>
    <x v="6"/>
    <x v="1"/>
    <x v="1"/>
    <x v="3"/>
    <x v="4"/>
    <x v="4"/>
    <x v="2"/>
    <x v="0"/>
    <x v="0"/>
    <x v="2"/>
    <x v="3"/>
    <x v="4"/>
    <x v="1"/>
    <x v="1"/>
    <x v="2"/>
    <x v="1"/>
    <x v="2"/>
    <x v="3"/>
    <s v="Açıklamaları anladım ve kabul ederek anketi tamamlıyorum."/>
  </r>
  <r>
    <d v="2026-04-20T12:45:44"/>
    <x v="3"/>
    <x v="0"/>
    <x v="1"/>
    <x v="3"/>
    <x v="4"/>
    <x v="1"/>
    <x v="8"/>
    <x v="3"/>
    <x v="3"/>
    <x v="0"/>
    <x v="0"/>
    <x v="0"/>
    <x v="0"/>
    <x v="2"/>
    <x v="0"/>
    <x v="0"/>
    <x v="3"/>
    <x v="2"/>
    <x v="1"/>
    <x v="1"/>
    <x v="2"/>
    <x v="2"/>
    <x v="9"/>
    <x v="0"/>
    <s v="Açıklamaları anladım ve kabul ederek anketi tamamlıyorum."/>
  </r>
  <r>
    <d v="2026-04-20T14:10:22"/>
    <x v="1"/>
    <x v="0"/>
    <x v="2"/>
    <x v="3"/>
    <x v="2"/>
    <x v="0"/>
    <x v="2"/>
    <x v="1"/>
    <x v="1"/>
    <x v="1"/>
    <x v="2"/>
    <x v="0"/>
    <x v="2"/>
    <x v="2"/>
    <x v="0"/>
    <x v="2"/>
    <x v="0"/>
    <x v="2"/>
    <x v="1"/>
    <x v="1"/>
    <x v="2"/>
    <x v="3"/>
    <x v="5"/>
    <x v="4"/>
    <s v="Açıklamaları anladım ve kabul ederek anketi tamamlıyorum."/>
  </r>
  <r>
    <d v="2026-04-20T14:19:28"/>
    <x v="3"/>
    <x v="0"/>
    <x v="3"/>
    <x v="4"/>
    <x v="2"/>
    <x v="1"/>
    <x v="6"/>
    <x v="2"/>
    <x v="2"/>
    <x v="1"/>
    <x v="4"/>
    <x v="2"/>
    <x v="3"/>
    <x v="1"/>
    <x v="0"/>
    <x v="2"/>
    <x v="0"/>
    <x v="2"/>
    <x v="0"/>
    <x v="0"/>
    <x v="2"/>
    <x v="2"/>
    <x v="4"/>
    <x v="3"/>
    <s v="Açıklamaları anladım ve kabul ederek anketi tamamlıyorum."/>
  </r>
  <r>
    <d v="2026-04-20T14:21:01"/>
    <x v="3"/>
    <x v="1"/>
    <x v="0"/>
    <x v="4"/>
    <x v="2"/>
    <x v="1"/>
    <x v="10"/>
    <x v="3"/>
    <x v="2"/>
    <x v="2"/>
    <x v="3"/>
    <x v="0"/>
    <x v="0"/>
    <x v="1"/>
    <x v="2"/>
    <x v="1"/>
    <x v="1"/>
    <x v="1"/>
    <x v="3"/>
    <x v="1"/>
    <x v="2"/>
    <x v="2"/>
    <x v="4"/>
    <x v="3"/>
    <s v="Açıklamaları anladım ve kabul ederek anketi tamamlıyorum."/>
  </r>
  <r>
    <d v="2026-04-20T14:22:21"/>
    <x v="1"/>
    <x v="0"/>
    <x v="1"/>
    <x v="4"/>
    <x v="5"/>
    <x v="1"/>
    <x v="6"/>
    <x v="4"/>
    <x v="3"/>
    <x v="2"/>
    <x v="2"/>
    <x v="1"/>
    <x v="1"/>
    <x v="0"/>
    <x v="2"/>
    <x v="1"/>
    <x v="2"/>
    <x v="2"/>
    <x v="2"/>
    <x v="2"/>
    <x v="2"/>
    <x v="0"/>
    <x v="6"/>
    <x v="2"/>
    <s v="Açıklamaları anladım ve kabul ederek anketi tamamlıyorum."/>
  </r>
  <r>
    <d v="2026-04-20T14:30:34"/>
    <x v="0"/>
    <x v="0"/>
    <x v="0"/>
    <x v="4"/>
    <x v="2"/>
    <x v="0"/>
    <x v="1"/>
    <x v="3"/>
    <x v="0"/>
    <x v="1"/>
    <x v="2"/>
    <x v="1"/>
    <x v="2"/>
    <x v="2"/>
    <x v="1"/>
    <x v="1"/>
    <x v="0"/>
    <x v="0"/>
    <x v="1"/>
    <x v="1"/>
    <x v="2"/>
    <x v="2"/>
    <x v="10"/>
    <x v="2"/>
    <s v="Açıklamaları anladım ve kabul ederek anketi tamamlıyorum."/>
  </r>
  <r>
    <d v="2026-04-20T14:39:21"/>
    <x v="3"/>
    <x v="1"/>
    <x v="3"/>
    <x v="4"/>
    <x v="2"/>
    <x v="1"/>
    <x v="11"/>
    <x v="3"/>
    <x v="0"/>
    <x v="1"/>
    <x v="2"/>
    <x v="1"/>
    <x v="4"/>
    <x v="1"/>
    <x v="1"/>
    <x v="1"/>
    <x v="0"/>
    <x v="1"/>
    <x v="0"/>
    <x v="0"/>
    <x v="2"/>
    <x v="2"/>
    <x v="11"/>
    <x v="3"/>
    <s v="Açıklamaları anladım ve kabul ederek anketi tamamlıyorum."/>
  </r>
  <r>
    <d v="2026-04-20T14:47:49"/>
    <x v="0"/>
    <x v="2"/>
    <x v="1"/>
    <x v="4"/>
    <x v="2"/>
    <x v="1"/>
    <x v="6"/>
    <x v="0"/>
    <x v="4"/>
    <x v="1"/>
    <x v="3"/>
    <x v="4"/>
    <x v="0"/>
    <x v="2"/>
    <x v="2"/>
    <x v="0"/>
    <x v="0"/>
    <x v="4"/>
    <x v="4"/>
    <x v="3"/>
    <x v="2"/>
    <x v="2"/>
    <x v="12"/>
    <x v="3"/>
    <s v="Açıklamaları anladım ve kabul ederek anketi tamamlıyorum."/>
  </r>
  <r>
    <d v="2026-04-20T15:14:12"/>
    <x v="1"/>
    <x v="0"/>
    <x v="1"/>
    <x v="4"/>
    <x v="4"/>
    <x v="1"/>
    <x v="10"/>
    <x v="2"/>
    <x v="1"/>
    <x v="1"/>
    <x v="0"/>
    <x v="1"/>
    <x v="2"/>
    <x v="2"/>
    <x v="0"/>
    <x v="1"/>
    <x v="1"/>
    <x v="1"/>
    <x v="0"/>
    <x v="0"/>
    <x v="2"/>
    <x v="1"/>
    <x v="9"/>
    <x v="2"/>
    <s v="Açıklamaları anladım ve kabul ederek anketi tamamlıyorum."/>
  </r>
  <r>
    <d v="2026-04-20T15:17:41"/>
    <x v="1"/>
    <x v="0"/>
    <x v="1"/>
    <x v="4"/>
    <x v="2"/>
    <x v="1"/>
    <x v="12"/>
    <x v="1"/>
    <x v="2"/>
    <x v="1"/>
    <x v="0"/>
    <x v="1"/>
    <x v="2"/>
    <x v="1"/>
    <x v="1"/>
    <x v="1"/>
    <x v="0"/>
    <x v="1"/>
    <x v="0"/>
    <x v="0"/>
    <x v="2"/>
    <x v="1"/>
    <x v="9"/>
    <x v="3"/>
    <s v="Açıklamaları anladım ve kabul ederek anketi tamamlıyorum."/>
  </r>
  <r>
    <d v="2026-04-20T15:35:36"/>
    <x v="2"/>
    <x v="0"/>
    <x v="3"/>
    <x v="4"/>
    <x v="2"/>
    <x v="1"/>
    <x v="10"/>
    <x v="2"/>
    <x v="0"/>
    <x v="2"/>
    <x v="0"/>
    <x v="1"/>
    <x v="0"/>
    <x v="2"/>
    <x v="2"/>
    <x v="2"/>
    <x v="0"/>
    <x v="0"/>
    <x v="1"/>
    <x v="3"/>
    <x v="2"/>
    <x v="1"/>
    <x v="4"/>
    <x v="2"/>
    <s v="Açıklamaları anladım ve kabul ederek anketi tamamlıyorum."/>
  </r>
  <r>
    <d v="2026-04-20T16:06:38"/>
    <x v="1"/>
    <x v="0"/>
    <x v="3"/>
    <x v="8"/>
    <x v="2"/>
    <x v="0"/>
    <x v="10"/>
    <x v="1"/>
    <x v="1"/>
    <x v="1"/>
    <x v="0"/>
    <x v="1"/>
    <x v="1"/>
    <x v="1"/>
    <x v="1"/>
    <x v="1"/>
    <x v="2"/>
    <x v="1"/>
    <x v="0"/>
    <x v="0"/>
    <x v="2"/>
    <x v="2"/>
    <x v="4"/>
    <x v="3"/>
    <s v="Açıklamaları anladım ve kabul ederek anketi tamamlıyorum."/>
  </r>
  <r>
    <d v="2026-04-20T21:41:27"/>
    <x v="0"/>
    <x v="0"/>
    <x v="2"/>
    <x v="3"/>
    <x v="1"/>
    <x v="1"/>
    <x v="2"/>
    <x v="2"/>
    <x v="1"/>
    <x v="1"/>
    <x v="1"/>
    <x v="1"/>
    <x v="1"/>
    <x v="1"/>
    <x v="1"/>
    <x v="1"/>
    <x v="1"/>
    <x v="2"/>
    <x v="0"/>
    <x v="0"/>
    <x v="2"/>
    <x v="1"/>
    <x v="13"/>
    <x v="0"/>
    <s v="Açıklamaları anladım ve kabul ederek anketi tamamlıyorum."/>
  </r>
  <r>
    <d v="2026-04-20T22:14:55"/>
    <x v="1"/>
    <x v="0"/>
    <x v="1"/>
    <x v="4"/>
    <x v="2"/>
    <x v="1"/>
    <x v="6"/>
    <x v="1"/>
    <x v="1"/>
    <x v="1"/>
    <x v="0"/>
    <x v="1"/>
    <x v="1"/>
    <x v="1"/>
    <x v="1"/>
    <x v="1"/>
    <x v="1"/>
    <x v="0"/>
    <x v="0"/>
    <x v="1"/>
    <x v="2"/>
    <x v="2"/>
    <x v="4"/>
    <x v="0"/>
    <s v="Açıklamaları anladım ve kabul ederek anketi tamamlıyorum."/>
  </r>
  <r>
    <d v="2026-04-21T01:32:21"/>
    <x v="3"/>
    <x v="0"/>
    <x v="1"/>
    <x v="3"/>
    <x v="0"/>
    <x v="1"/>
    <x v="13"/>
    <x v="1"/>
    <x v="1"/>
    <x v="1"/>
    <x v="4"/>
    <x v="4"/>
    <x v="0"/>
    <x v="3"/>
    <x v="4"/>
    <x v="2"/>
    <x v="3"/>
    <x v="4"/>
    <x v="0"/>
    <x v="0"/>
    <x v="3"/>
    <x v="2"/>
    <x v="9"/>
    <x v="2"/>
    <s v="Açıklamaları anladım ve kabul ederek anketi tamamlıyorum."/>
  </r>
  <r>
    <d v="2026-04-22T11:06:48"/>
    <x v="0"/>
    <x v="1"/>
    <x v="3"/>
    <x v="0"/>
    <x v="5"/>
    <x v="1"/>
    <x v="6"/>
    <x v="2"/>
    <x v="3"/>
    <x v="2"/>
    <x v="3"/>
    <x v="1"/>
    <x v="1"/>
    <x v="1"/>
    <x v="1"/>
    <x v="1"/>
    <x v="0"/>
    <x v="1"/>
    <x v="0"/>
    <x v="0"/>
    <x v="2"/>
    <x v="2"/>
    <x v="14"/>
    <x v="5"/>
    <s v="Açıklamaları anladım ve kabul ederek anketi tamamlıyorum."/>
  </r>
  <r>
    <d v="2026-04-27T12:05:14"/>
    <x v="3"/>
    <x v="0"/>
    <x v="1"/>
    <x v="3"/>
    <x v="2"/>
    <x v="1"/>
    <x v="14"/>
    <x v="3"/>
    <x v="3"/>
    <x v="0"/>
    <x v="3"/>
    <x v="4"/>
    <x v="0"/>
    <x v="0"/>
    <x v="2"/>
    <x v="2"/>
    <x v="3"/>
    <x v="1"/>
    <x v="2"/>
    <x v="0"/>
    <x v="2"/>
    <x v="2"/>
    <x v="4"/>
    <x v="3"/>
    <s v="Açıklamaları anladım ve kabul ederek anketi tamamlıyorum."/>
  </r>
  <r>
    <d v="2026-04-27T12:18:02"/>
    <x v="0"/>
    <x v="0"/>
    <x v="3"/>
    <x v="8"/>
    <x v="4"/>
    <x v="0"/>
    <x v="6"/>
    <x v="3"/>
    <x v="2"/>
    <x v="3"/>
    <x v="3"/>
    <x v="3"/>
    <x v="4"/>
    <x v="4"/>
    <x v="3"/>
    <x v="0"/>
    <x v="3"/>
    <x v="2"/>
    <x v="1"/>
    <x v="1"/>
    <x v="3"/>
    <x v="1"/>
    <x v="4"/>
    <x v="4"/>
    <s v="Açıklamaları anladım ve kabul ederek anketi tamamlıyorum."/>
  </r>
  <r>
    <d v="2026-04-27T15:15:06"/>
    <x v="0"/>
    <x v="1"/>
    <x v="2"/>
    <x v="7"/>
    <x v="0"/>
    <x v="1"/>
    <x v="10"/>
    <x v="1"/>
    <x v="3"/>
    <x v="1"/>
    <x v="0"/>
    <x v="0"/>
    <x v="0"/>
    <x v="1"/>
    <x v="0"/>
    <x v="1"/>
    <x v="0"/>
    <x v="0"/>
    <x v="4"/>
    <x v="0"/>
    <x v="0"/>
    <x v="1"/>
    <x v="9"/>
    <x v="3"/>
    <s v="Açıklamaları anladım ve kabul ederek anketi tamamlıyorum."/>
  </r>
  <r>
    <d v="2026-04-28T13:46:43"/>
    <x v="1"/>
    <x v="0"/>
    <x v="0"/>
    <x v="3"/>
    <x v="0"/>
    <x v="1"/>
    <x v="15"/>
    <x v="0"/>
    <x v="5"/>
    <x v="0"/>
    <x v="0"/>
    <x v="1"/>
    <x v="2"/>
    <x v="1"/>
    <x v="0"/>
    <x v="2"/>
    <x v="3"/>
    <x v="4"/>
    <x v="3"/>
    <x v="2"/>
    <x v="2"/>
    <x v="1"/>
    <x v="9"/>
    <x v="0"/>
    <s v="Açıklamaları anladım ve kabul ederek anketi tamamlıyorum."/>
  </r>
  <r>
    <d v="2026-05-13T10:52:32"/>
    <x v="3"/>
    <x v="0"/>
    <x v="3"/>
    <x v="3"/>
    <x v="0"/>
    <x v="1"/>
    <x v="14"/>
    <x v="0"/>
    <x v="0"/>
    <x v="3"/>
    <x v="4"/>
    <x v="4"/>
    <x v="2"/>
    <x v="2"/>
    <x v="0"/>
    <x v="2"/>
    <x v="4"/>
    <x v="2"/>
    <x v="0"/>
    <x v="0"/>
    <x v="2"/>
    <x v="2"/>
    <x v="2"/>
    <x v="3"/>
    <s v="Açıklamaları anladım ve kabul ederek anketi tamamlıyorum."/>
  </r>
  <r>
    <d v="2026-05-21T08:44:22"/>
    <x v="4"/>
    <x v="0"/>
    <x v="3"/>
    <x v="4"/>
    <x v="5"/>
    <x v="1"/>
    <x v="10"/>
    <x v="0"/>
    <x v="5"/>
    <x v="2"/>
    <x v="4"/>
    <x v="0"/>
    <x v="1"/>
    <x v="0"/>
    <x v="2"/>
    <x v="0"/>
    <x v="4"/>
    <x v="2"/>
    <x v="0"/>
    <x v="0"/>
    <x v="2"/>
    <x v="2"/>
    <x v="4"/>
    <x v="3"/>
    <s v="Açıklamaları anladım ve kabul ederek anketi tamamlıyorum."/>
  </r>
  <r>
    <d v="2026-05-21T08:52:25"/>
    <x v="0"/>
    <x v="1"/>
    <x v="1"/>
    <x v="0"/>
    <x v="3"/>
    <x v="4"/>
    <x v="1"/>
    <x v="3"/>
    <x v="1"/>
    <x v="0"/>
    <x v="3"/>
    <x v="2"/>
    <x v="3"/>
    <x v="0"/>
    <x v="0"/>
    <x v="2"/>
    <x v="0"/>
    <x v="2"/>
    <x v="0"/>
    <x v="0"/>
    <x v="2"/>
    <x v="1"/>
    <x v="4"/>
    <x v="4"/>
    <s v="Açıklamaları anladım ve kabul ederek anketi tamamlıyorum."/>
  </r>
  <r>
    <d v="2026-05-21T08:53:58"/>
    <x v="0"/>
    <x v="0"/>
    <x v="2"/>
    <x v="4"/>
    <x v="5"/>
    <x v="1"/>
    <x v="10"/>
    <x v="3"/>
    <x v="2"/>
    <x v="2"/>
    <x v="2"/>
    <x v="1"/>
    <x v="1"/>
    <x v="2"/>
    <x v="2"/>
    <x v="2"/>
    <x v="1"/>
    <x v="4"/>
    <x v="0"/>
    <x v="3"/>
    <x v="2"/>
    <x v="1"/>
    <x v="6"/>
    <x v="3"/>
    <s v="Açıklamaları anladım ve kabul ederek anketi tamamlıyorum."/>
  </r>
  <r>
    <d v="2026-05-21T08:58:04"/>
    <x v="1"/>
    <x v="0"/>
    <x v="2"/>
    <x v="4"/>
    <x v="2"/>
    <x v="1"/>
    <x v="6"/>
    <x v="4"/>
    <x v="1"/>
    <x v="2"/>
    <x v="0"/>
    <x v="4"/>
    <x v="2"/>
    <x v="2"/>
    <x v="0"/>
    <x v="1"/>
    <x v="3"/>
    <x v="0"/>
    <x v="1"/>
    <x v="1"/>
    <x v="2"/>
    <x v="1"/>
    <x v="6"/>
    <x v="2"/>
    <s v="Açıklamaları anladım ve kabul ederek anketi tamamlıyorum."/>
  </r>
  <r>
    <d v="2026-05-21T09:04:32"/>
    <x v="1"/>
    <x v="0"/>
    <x v="0"/>
    <x v="2"/>
    <x v="2"/>
    <x v="0"/>
    <x v="6"/>
    <x v="2"/>
    <x v="3"/>
    <x v="1"/>
    <x v="1"/>
    <x v="1"/>
    <x v="1"/>
    <x v="1"/>
    <x v="1"/>
    <x v="1"/>
    <x v="2"/>
    <x v="0"/>
    <x v="0"/>
    <x v="1"/>
    <x v="2"/>
    <x v="1"/>
    <x v="2"/>
    <x v="0"/>
    <s v="Açıklamaları anladım ve kabul ederek anketi tamamlıyorum."/>
  </r>
  <r>
    <d v="2026-06-02T00:27:41"/>
    <x v="0"/>
    <x v="1"/>
    <x v="1"/>
    <x v="0"/>
    <x v="3"/>
    <x v="4"/>
    <x v="6"/>
    <x v="1"/>
    <x v="3"/>
    <x v="1"/>
    <x v="4"/>
    <x v="0"/>
    <x v="0"/>
    <x v="4"/>
    <x v="0"/>
    <x v="0"/>
    <x v="0"/>
    <x v="2"/>
    <x v="0"/>
    <x v="4"/>
    <x v="2"/>
    <x v="2"/>
    <x v="4"/>
    <x v="4"/>
    <s v="Açıklamaları anladım ve kabul ederek anketi tamamlıyoru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6-03-04T15:12:02"/>
    <x v="0"/>
    <s v="Yazılım ve Dijitalleşme Hizmetleri"/>
    <x v="0"/>
    <n v="8"/>
    <x v="0"/>
    <x v="0"/>
    <s v="%41 - 60"/>
    <s v="%0 - 20"/>
    <s v="%0 - 20"/>
    <s v="%41 - 60"/>
    <s v="%21 - 40"/>
    <x v="0"/>
    <x v="0"/>
    <x v="0"/>
    <x v="0"/>
    <s v="%0-20 arası"/>
    <s v="%0-20 arası"/>
    <s v="%21 - 30"/>
    <s v="%41'den fazla"/>
    <s v="%0 - 10"/>
    <s v="%0 - 10"/>
    <s v="%41'den fazla"/>
    <s v="%0 - 10"/>
    <s v="%0 - 10"/>
    <s v="%41'den fazla"/>
    <s v="%61'den fazla"/>
    <s v="%0 - 20"/>
    <s v="%61'den fazla"/>
    <s v="%61'den fazla"/>
    <n v="5"/>
    <n v="4"/>
    <x v="0"/>
    <n v="1"/>
    <n v="4"/>
    <n v="1"/>
    <s v="Üst/Orta Düzey Yönetici ve Strateji Planlama"/>
    <s v="Ücret ve Yan Hak Beklentileri, Teknik Yetkinlik Yetersizliği"/>
    <s v="İş hacmi ve personel sayısı birlikte arttı."/>
    <s v="41-80 saat arası"/>
    <s v="Uzun dönemli staj ve aday mühendis programları"/>
    <s v="Mevcut çalışma koşulları, kurum kültürü veya yönetimsel süreçlerden duyulan memnuniyetsizlik"/>
    <s v="Kariyer gelişimi ve sürekli öğrenme, Güçlü şirket kültürü ve sosyal bağlar"/>
    <s v="Enerji Depolama, Akıllı şebeke Çözümleri, Panel Ömür Sonu Yönetimi"/>
    <x v="0"/>
    <s v="Yatırım Hızında ve Kapasitede Değişiklikler, Depolama ve Diğer Yeni Teknolojiler, Mevzuat Değişiklikleri"/>
  </r>
  <r>
    <d v="2026-03-05T09:21:33"/>
    <x v="1"/>
    <s v="Kurulum, Taahhüt, İnşaat, İşletme, Bakım ve Onarım, Güneş Santrali Sistem Bileşeni Üretimi (evirici, konstrüksiyon, kablolama, vb.), Araştırma ve Geliştirme Faaliyetleri"/>
    <x v="1"/>
    <n v="60"/>
    <x v="1"/>
    <x v="1"/>
    <s v="%21 - 40"/>
    <s v="%0 - 20"/>
    <s v="%21 - 40"/>
    <s v="%0 - 20"/>
    <s v="%0 - 20"/>
    <x v="0"/>
    <x v="1"/>
    <x v="1"/>
    <x v="1"/>
    <s v="%0-20 arası"/>
    <s v="%0-20 arası"/>
    <s v="%0 - 10"/>
    <s v="%11 - 20"/>
    <s v="%21 - 30"/>
    <s v="%0 - 10"/>
    <s v="%0 - 10"/>
    <s v="%11 - 20"/>
    <s v="%0 - 10"/>
    <s v="%0 - 10"/>
    <s v="%61'den fazla"/>
    <s v="%0 - 20"/>
    <s v="%21-40 arası"/>
    <s v="%0-20 arası"/>
    <n v="4"/>
    <n v="1"/>
    <x v="1"/>
    <n v="4"/>
    <n v="1"/>
    <n v="3"/>
    <s v="Ar-Ge Mühendisi"/>
    <s v="Ücret ve Yan Hak Beklentileri, Teknik Yetkinlik Yetersizliği"/>
    <s v="İş hacmi ve personel sayısı birlikte arttı."/>
    <s v="Kurum içi eğitim programı uygulanmıyor"/>
    <s v="Herhangi bir iş birliği yapılmıyor."/>
    <s v="Başka firmalardan gelen daha yüksek ücret ve yan hak teklifleri"/>
    <s v="Rekabetçi maaş ve prim sistemleri, Özel/tamamlayıcı sağlık sigortası, yemek/ulaşım desteği vb., Güçlü şirket kültürü ve sosyal bağlar"/>
    <s v="Proje Geliştirme ve Mühendislik Tasarımı, Satış Hizmetleri, Enerji Depolama"/>
    <x v="1"/>
    <s v="Yatırım Hızında ve Kapasitede Değişiklikler, Ar-Ge Odaklılık, Teşvikler"/>
  </r>
  <r>
    <d v="2026-03-05T11:32:55"/>
    <x v="2"/>
    <s v="Kurulum, Taahhüt, İnşaat, İşletme, Bakım ve Onarım, Güneş Santrali Hizmet Sağlayıcısı (temizlik, güvenlik, vb)"/>
    <x v="2"/>
    <n v="45"/>
    <x v="2"/>
    <x v="1"/>
    <s v="%0 - 20"/>
    <s v="%61'den fazla"/>
    <s v="%0 - 20"/>
    <s v="%21 - 40"/>
    <s v="%0 - 20"/>
    <x v="0"/>
    <x v="1"/>
    <x v="2"/>
    <x v="0"/>
    <s v="%41-60 arası"/>
    <s v="%0-20 arası"/>
    <s v="%0 - 10"/>
    <s v="%0 - 10"/>
    <s v="%0 - 10"/>
    <s v="%0 - 10"/>
    <s v="%0 - 10"/>
    <s v="%0 - 10"/>
    <s v="%0 - 10"/>
    <s v="%0 - 10"/>
    <s v="%41-60"/>
    <s v="%61'den fazla"/>
    <s v="%0-20 arası"/>
    <s v="%0-20 arası"/>
    <n v="3"/>
    <n v="3"/>
    <x v="0"/>
    <n v="5"/>
    <n v="3"/>
    <n v="3"/>
    <s v="Üst/Orta Düzey Yönetici ve Strateji Planlama"/>
    <s v="Teknik Yetkinlik Yetersizliği, Saha çalışmasına isteksizlik, İletişim ve Dil Bariyeri"/>
    <s v="İş hacmi ve personel sayısı birlikte azaldı."/>
    <s v="17-40 saat arası"/>
    <s v="Herhangi bir iş birliği yapılmıyor."/>
    <s v="Farklı bir sektöre geçiş yapma isteği"/>
    <s v="Rekabetçi maaş ve prim sistemleri, Özel/tamamlayıcı sağlık sigortası, yemek/ulaşım desteği vb., Esnek çalışma modelleri ve iş-yaşam dengesi"/>
    <s v="Veri Yönetimi ve Dijitalleşme, Enerji Depolama, Akıllı şebeke Çözümleri"/>
    <x v="0"/>
    <s v="Yatırım Hızında ve Kapasitede Değişiklikler, Depolama ve Diğer Yeni Teknolojiler, Mevzuat Değişiklikleri"/>
  </r>
  <r>
    <d v="2026-03-05T11:38:15"/>
    <x v="3"/>
    <s v="Güneş Santralı Yatırımcısı, Güneş Paneli ve Hücre Distribitörlüğü ve Tedariği"/>
    <x v="0"/>
    <n v="225"/>
    <x v="3"/>
    <x v="1"/>
    <s v="%0 - 20"/>
    <s v="%0 - 20"/>
    <s v="%61'den fazla"/>
    <s v="%0 - 20"/>
    <s v="%21 - 40"/>
    <x v="0"/>
    <x v="1"/>
    <x v="1"/>
    <x v="1"/>
    <s v="%41-60 arası"/>
    <s v="%0-20 arası"/>
    <s v="%0 - 10"/>
    <s v="%0 - 10"/>
    <s v="%0 - 10"/>
    <s v="%0 - 10"/>
    <s v="%0 - 10"/>
    <s v="%11 - 20"/>
    <s v="%11 - 20"/>
    <s v="%11 - 20"/>
    <s v="%21-40"/>
    <s v="%41-60"/>
    <s v="%21-40 arası"/>
    <s v="%21-40 arası"/>
    <n v="3"/>
    <n v="3"/>
    <x v="2"/>
    <n v="4"/>
    <n v="3"/>
    <n v="4"/>
    <s v="Uzman Teknisyen ve Operatörler"/>
    <s v="Ücret ve Yan Hak Beklentileri, Teknik Yetkinlik Yetersizliği"/>
    <s v="İş hacmi ve personel sayısı birlikte azaldı."/>
    <s v="41-80 saat arası"/>
    <s v="Uzun dönemli staj ve aday mühendis programları"/>
    <s v="Başka firmalardan gelen daha yüksek ücret ve yan hak teklifleri"/>
    <s v="Özel/tamamlayıcı sağlık sigortası, yemek/ulaşım desteği vb., Güçlü şirket kültürü ve sosyal bağlar, İşin anlamı ve sosyal etki"/>
    <s v="Kurulum, Taahhüt, İnşaat, İşletme, Bakım ve Onarım, Satış Hizmetleri, Akıllı şebeke Çözümleri"/>
    <x v="1"/>
    <s v="Yatırım Hızında ve Kapasitede Değişiklikler, Yerli Üretim Odaklılı, Mevzuat Değişiklikleri"/>
  </r>
  <r>
    <d v="2026-03-05T11:44:32"/>
    <x v="4"/>
    <s v="Proje Geliştirme ve Danışmanlık, Mühendislik ve Teknik Müşavirlik, Kurulum, Taahhüt, İnşaat, İşletme, Bakım ve Onarım, Yazılım ve Dijitalleşme Hizmetleri, Araştırma ve Geliştirme Faaliyetleri"/>
    <x v="0"/>
    <n v="20"/>
    <x v="4"/>
    <x v="2"/>
    <s v="%41 - 60"/>
    <s v="%21 - 40"/>
    <s v="%21 - 40"/>
    <s v="%21 - 40"/>
    <s v="%41 - 60"/>
    <x v="0"/>
    <x v="2"/>
    <x v="0"/>
    <x v="2"/>
    <s v="%0-20 arası"/>
    <s v="%0-20 arası"/>
    <s v="%0 - 10"/>
    <s v="%0 - 10"/>
    <s v="%0 - 10"/>
    <s v="%0 - 10"/>
    <s v="%21 - 30"/>
    <s v="%0 - 10"/>
    <s v="%11 - 20"/>
    <s v="%0 - 10"/>
    <s v="%61'den fazla"/>
    <s v="%0 - 20"/>
    <s v="%21-40 arası"/>
    <s v="%0-20 arası"/>
    <n v="5"/>
    <n v="1"/>
    <x v="1"/>
    <n v="2"/>
    <n v="2"/>
    <n v="2"/>
    <s v="Proje Uzmanı / Mühendis"/>
    <s v="Teknik Yetkinlik Yetersizliği"/>
    <s v="İş hacmi ve personel sayısı birlikte arttı."/>
    <s v="0-16 saat arası"/>
    <s v="Herhangi bir iş birliği yapılmıyor."/>
    <s v="Mevcut çalışma koşulları, kurum kültürü veya yönetimsel süreçlerden duyulan memnuniyetsizlik"/>
    <s v="Rekabetçi maaş ve prim sistemleri, Kariyer gelişimi ve sürekli öğrenme, Esnek çalışma modelleri ve iş-yaşam dengesi"/>
    <s v="Proje Geliştirme ve Mühendislik Tasarımı, Kurulum, Taahhüt, İnşaat, İşletme, Bakım ve Onarım, Enerji Depolama"/>
    <x v="0"/>
    <s v="Yatırım Hızında ve Kapasitede Değişiklikler, Depolama ve Diğer Yeni Teknolojiler, Coğrafi Faaliyet Alanlarında Değişiklikler"/>
  </r>
  <r>
    <d v="2026-03-05T13:43:52"/>
    <x v="2"/>
    <s v="Mühendislik ve Teknik Müşavirlik, Kurulum, Taahhüt, İnşaat, İşletme, Bakım ve Onarım"/>
    <x v="1"/>
    <n v="14"/>
    <x v="5"/>
    <x v="1"/>
    <s v="%21 - 40"/>
    <s v="%41 - 60"/>
    <s v="%0 - 20"/>
    <s v="%0 - 20"/>
    <s v="%0 - 20"/>
    <x v="0"/>
    <x v="1"/>
    <x v="1"/>
    <x v="1"/>
    <s v="%0-20 arası"/>
    <s v="%0-20 arası"/>
    <s v="%0 - 10"/>
    <s v="%0 - 10"/>
    <s v="%0 - 10"/>
    <s v="%0 - 10"/>
    <s v="%0 - 10"/>
    <s v="%0 - 10"/>
    <s v="%21 - 30"/>
    <s v="%0 - 10"/>
    <s v="%61'den fazla"/>
    <s v="%0 - 20"/>
    <s v="%0-20 arası"/>
    <s v="%0-20 arası"/>
    <n v="2"/>
    <n v="2"/>
    <x v="3"/>
    <n v="4"/>
    <n v="2"/>
    <n v="2"/>
    <s v="Uzman Teknisyen ve Operatörler"/>
    <s v="Ücret ve Yan Hak Beklentileri, Teknik Yetkinlik Yetersizliği, Saha çalışmasına isteksizlik"/>
    <s v="İş hacmi ve personel sayısı birlikte azaldı."/>
    <s v="17-40 saat arası"/>
    <s v="Herhangi bir iş birliği yapılmıyor."/>
    <s v="Başka firmalardan gelen daha yüksek ücret ve yan hak teklifleri"/>
    <s v="Kariyer gelişimi ve sürekli öğrenme, Esnek çalışma modelleri ve iş-yaşam dengesi, Güçlü şirket kültürü ve sosyal bağlar"/>
    <s v="Proje Geliştirme ve Mühendislik Tasarımı, Kurulum, Taahhüt, İnşaat, İşletme, Bakım ve Onarım, Enerji Depolama"/>
    <x v="1"/>
    <s v="Yatırım Hızında ve Kapasitede Değişiklikler, Mevzuat Değişiklikleri, Teşvikler"/>
  </r>
  <r>
    <d v="2026-03-05T13:57:30"/>
    <x v="2"/>
    <s v="Güneş Santralı Yatırımcısı, Proje Geliştirme ve Danışmanlık, Mühendislik ve Teknik Müşavirlik, Kurulum, Taahhüt, İnşaat, İşletme, Bakım ve Onarım, Güneş Santrali Sistem Bileşeni Üretimi (evirici, konstrüksiyon, kablolama, vb.)"/>
    <x v="2"/>
    <n v="15"/>
    <x v="6"/>
    <x v="2"/>
    <s v="%21 - 40"/>
    <s v="%41 - 60"/>
    <s v="%0 - 20"/>
    <s v="%21 - 40"/>
    <s v="%0 - 20"/>
    <x v="0"/>
    <x v="0"/>
    <x v="1"/>
    <x v="2"/>
    <s v="%0-20 arası"/>
    <s v="%0-20 arası"/>
    <s v="%0 - 10"/>
    <s v="%0 - 10"/>
    <s v="%0 - 10"/>
    <s v="%0 - 10"/>
    <s v="%11 - 20"/>
    <s v="%0 - 10"/>
    <s v="%41'den fazla"/>
    <s v="%11 - 20"/>
    <s v="%0 - 20"/>
    <s v="%61'den fazla"/>
    <s v="%21-40 arası"/>
    <s v="%21-40 arası"/>
    <n v="5"/>
    <n v="3"/>
    <x v="0"/>
    <n v="5"/>
    <n v="5"/>
    <n v="3"/>
    <s v="Proje Uzmanı / Mühendis"/>
    <s v="Ücret ve Yan Hak Beklentileri, Teknik Yetkinlik Yetersizliği, Saha çalışmasına isteksizlik"/>
    <s v="İş hacmi ve personel sayısı birlikte azaldı."/>
    <s v="41-80 saat arası"/>
    <s v="Uzun dönemli staj ve aday mühendis programları"/>
    <s v="Şirket içindeki kariyer ilerleme imkanlarının belirsizliği"/>
    <s v="Özel/tamamlayıcı sağlık sigortası, yemek/ulaşım desteği vb."/>
    <s v="Akıllı şebeke Çözümleri, Aslında, izlenen politikalar nedeniyle hiçbir alanda istihdamın yoğunlaşacağını düşünmüyorum."/>
    <x v="2"/>
    <s v="Yatırım Hızında ve Kapasitede Değişiklikler, Mevzuat Değişiklikleri"/>
  </r>
  <r>
    <d v="2026-03-05T14:10:49"/>
    <x v="0"/>
    <s v="Proje Geliştirme ve Danışmanlık, Hücre ve Panel Üretimi"/>
    <x v="1"/>
    <n v="150"/>
    <x v="7"/>
    <x v="1"/>
    <s v="%41 - 60"/>
    <s v="%0 - 20"/>
    <s v="%21 - 40"/>
    <s v="%21 - 40"/>
    <s v="%21 - 40"/>
    <x v="0"/>
    <x v="2"/>
    <x v="0"/>
    <x v="0"/>
    <s v="%0-20 arası"/>
    <s v="%0-20 arası"/>
    <s v="%0 - 10"/>
    <s v="%11 - 20"/>
    <s v="%0 - 10"/>
    <s v="%21 - 30"/>
    <s v="%21 - 30"/>
    <s v="%0 - 10"/>
    <s v="%21 - 30"/>
    <s v="%11 - 20"/>
    <s v="%61'den fazla"/>
    <s v="%0 - 20"/>
    <s v="%41-60 arası"/>
    <s v="%21-40 arası"/>
    <n v="3"/>
    <n v="5"/>
    <x v="0"/>
    <n v="3"/>
    <n v="2"/>
    <n v="4"/>
    <s v="Üst/Orta Düzey Yönetici ve Strateji Planlama"/>
    <s v="Ücret ve Yan Hak Beklentileri, Saha çalışmasına isteksizlik, İletişim ve Dil Bariyeri"/>
    <s v="İş hacmi ve personel sayısı birlikte arttı."/>
    <s v="81 saat ve üzeri"/>
    <s v="Uzun dönemli staj ve aday mühendis programları"/>
    <s v="Başka firmalardan gelen daha yüksek ücret ve yan hak teklifleri"/>
    <s v="Özel/tamamlayıcı sağlık sigortası, yemek/ulaşım desteği vb., Güçlü şirket kültürü ve sosyal bağlar"/>
    <s v="Proje Geliştirme ve Mühendislik Tasarımı, Panel, Hücre veya Ekipman Üretimi, Enerji Depolama"/>
    <x v="1"/>
    <s v="Yatırım Hızında ve Kapasitede Değişiklikler, Depolama ve Diğer Yeni Teknolojiler"/>
  </r>
  <r>
    <d v="2026-03-05T17:29:16"/>
    <x v="3"/>
    <s v="Hücre ve Panel Üretimi"/>
    <x v="3"/>
    <n v="145"/>
    <x v="8"/>
    <x v="1"/>
    <s v="%0 - 20"/>
    <s v="%0 - 20"/>
    <s v="%61'den fazla"/>
    <s v="%0 - 20"/>
    <s v="%0 - 20"/>
    <x v="0"/>
    <x v="1"/>
    <x v="1"/>
    <x v="2"/>
    <s v="%41-60 arası"/>
    <s v="%41-60 arası"/>
    <s v="%0 - 10"/>
    <s v="%11 - 20"/>
    <s v="%11 - 20"/>
    <s v="%21 - 30"/>
    <s v="%21 - 30"/>
    <s v="%31 - 40"/>
    <s v="%31 - 40"/>
    <s v="%11 - 20"/>
    <s v="%61'den fazla"/>
    <s v="%0 - 20"/>
    <s v="%21-40 arası"/>
    <s v="%21-40 arası"/>
    <n v="4"/>
    <n v="5"/>
    <x v="2"/>
    <n v="5"/>
    <n v="3"/>
    <n v="3"/>
    <s v="Proje Teknik Personeli"/>
    <s v="Ücret ve Yan Hak Beklentileri, Teknik Yetkinlik Yetersizliği, Saha çalışmasına isteksizlik"/>
    <s v="İş hacmi sabit kaldı, personel sayısı sabit kaldı / arttı."/>
    <s v="17-40 saat arası"/>
    <s v="Herhangi bir iş birliği yapılmıyor."/>
    <s v="Başka firmalardan gelen daha yüksek ücret ve yan hak teklifleri"/>
    <s v="Rekabetçi maaş ve prim sistemleri, Özel/tamamlayıcı sağlık sigortası, yemek/ulaşım desteği vb., Güçlü şirket kültürü ve sosyal bağlar"/>
    <s v="Panel, Hücre veya Ekipman Üretimi"/>
    <x v="0"/>
    <s v="Yatırım Hızında ve Kapasitede Değişiklikler"/>
  </r>
  <r>
    <d v="2026-03-13T14:05:48"/>
    <x v="2"/>
    <s v="Proje Geliştirme ve Danışmanlık, Mühendislik ve Teknik Müşavirlik, Kurulum, Taahhüt, İnşaat, İşletme, Bakım ve Onarım"/>
    <x v="0"/>
    <n v="5"/>
    <x v="9"/>
    <x v="1"/>
    <s v="%21 - 40"/>
    <s v="%61'den fazla"/>
    <s v="%0 - 20"/>
    <s v="%0 - 20"/>
    <s v="%0 - 20"/>
    <x v="0"/>
    <x v="1"/>
    <x v="2"/>
    <x v="2"/>
    <s v="%61'den fazla"/>
    <s v="%0-20 arası"/>
    <s v="%0 - 10"/>
    <s v="%0 - 10"/>
    <s v="%0 - 10"/>
    <s v="%0 - 10"/>
    <s v="%0 - 10"/>
    <s v="%11 - 20"/>
    <s v="%11 - 20"/>
    <s v="%0 - 10"/>
    <s v="%61'den fazla"/>
    <s v="%0 - 20"/>
    <s v="%0-20 arası"/>
    <s v="%0-20 arası"/>
    <n v="4"/>
    <n v="1"/>
    <x v="3"/>
    <n v="5"/>
    <n v="2"/>
    <n v="4"/>
    <s v="Uzman Teknisyen ve Operatörler"/>
    <s v="Ücret ve Yan Hak Beklentileri, Teknik Yetkinlik Yetersizliği, Saha çalışmasına isteksizlik"/>
    <s v="İş hacmi azaldı, personel sayısı sabit kaldı / arttı."/>
    <s v="0-16 saat arası"/>
    <s v="Mezuniyet sonrası doğrudan istihdam garantili eğitimler"/>
    <s v="Başka firmalardan gelen daha yüksek ücret ve yan hak teklifleri"/>
    <s v="Rekabetçi maaş ve prim sistemleri, Esnek çalışma modelleri ve iş-yaşam dengesi, Güçlü şirket kültürü ve sosyal bağlar"/>
    <s v="Proje Geliştirme ve Mühendislik Tasarımı, Enerji Depolama, Akıllı şebeke Çözümleri"/>
    <x v="1"/>
    <s v="Yatırım Hızında ve Kapasitede Değişiklikler, Depolama ve Diğer Yeni Teknolojiler, Mevzuat Değişiklikleri"/>
  </r>
  <r>
    <d v="2026-03-18T16:27:30"/>
    <x v="1"/>
    <s v="Proje Geliştirme ve Danışmanlık, Güneş Santrali Sistem Bileşeni Üretimi (evirici, konstrüksiyon, kablolama, vb.), Yazılım ve Dijitalleşme Hizmetleri"/>
    <x v="0"/>
    <n v="64"/>
    <x v="10"/>
    <x v="1"/>
    <s v="%21 - 40"/>
    <s v="%0 - 20"/>
    <s v="%0 - 20"/>
    <s v="%21 - 40"/>
    <s v="%41 - 60"/>
    <x v="0"/>
    <x v="1"/>
    <x v="3"/>
    <x v="0"/>
    <s v="%0-20 arası"/>
    <s v="%0-20 arası"/>
    <s v="%0 - 10"/>
    <s v="%0 - 10"/>
    <s v="%0 - 10"/>
    <s v="%0 - 10"/>
    <s v="%11 - 20"/>
    <s v="%11 - 20"/>
    <s v="%21 - 30"/>
    <s v="%0 - 10"/>
    <s v="%61'den fazla"/>
    <s v="%0 - 20"/>
    <s v="%21-40 arası"/>
    <s v="%41-60 arası"/>
    <n v="4"/>
    <n v="2"/>
    <x v="3"/>
    <n v="4"/>
    <n v="2"/>
    <n v="4"/>
    <s v="Saha elemanı (Vasıfsız İşçi)"/>
    <s v="Ücret ve Yan Hak Beklentileri, Teknik Yetkinlik Yetersizliği, İletişim ve Dil Bariyeri"/>
    <s v="İş hacmi azaldı, personel sayısı sabit kaldı / arttı."/>
    <s v="0-16 saat arası"/>
    <s v="KOSGEB, İŞKUR gibi kurumların uyguladığı programlar"/>
    <s v="Başka firmalardan gelen daha yüksek ücret ve yan hak teklifleri"/>
    <s v="Rekabetçi maaş ve prim sistemleri, Özel/tamamlayıcı sağlık sigortası, yemek/ulaşım desteği vb., Güçlü şirket kültürü ve sosyal bağlar"/>
    <s v="Kurulum, Taahhüt, İnşaat, İşletme, Bakım ve Onarım, Veri Yönetimi ve Dijitalleşme, Enerji Depolama"/>
    <x v="1"/>
    <s v="Yatırım Hızında ve Kapasitede Değişiklikler, Depolama ve Diğer Yeni Teknolojiler, Mevzuat Değişiklikleri"/>
  </r>
  <r>
    <d v="2026-04-10T12:17:19"/>
    <x v="5"/>
    <s v="Güneş Santrali Hizmet Sağlayıcısı (temizlik, güvenlik, vb)"/>
    <x v="2"/>
    <n v="8"/>
    <x v="11"/>
    <x v="1"/>
    <s v="%0 - 20"/>
    <s v="%0 - 20"/>
    <s v="%0 - 20"/>
    <s v="%0 - 20"/>
    <s v="%61'den fazla"/>
    <x v="0"/>
    <x v="1"/>
    <x v="0"/>
    <x v="0"/>
    <s v="%0-20 arası"/>
    <s v="%0-20 arası"/>
    <s v="%0 - 10"/>
    <s v="%0 - 10"/>
    <s v="%0 - 10"/>
    <s v="%0 - 10"/>
    <s v="%0 - 10"/>
    <s v="%0 - 10"/>
    <s v="%0 - 10"/>
    <s v="%0 - 10"/>
    <s v="%61'den fazla"/>
    <s v="%0 - 20"/>
    <s v="%21-40 arası"/>
    <s v="%0-20 arası"/>
    <n v="5"/>
    <n v="1"/>
    <x v="3"/>
    <n v="5"/>
    <n v="2"/>
    <n v="3"/>
    <s v="Proje Uzmanı / Mühendis"/>
    <s v="Teknik Yetkinlik Yetersizliği, Coğrafi Lokasyon Zorlukları, İletişim ve Dil Bariyeri"/>
    <s v="İş hacmi ve personel sayısı birlikte azaldı."/>
    <s v="41-80 saat arası"/>
    <s v="Ticari nitelikli kurslar"/>
    <s v="Başka firmalardan gelen daha yüksek ücret ve yan hak teklifleri"/>
    <s v="Rekabetçi maaş ve prim sistemleri, Özel/tamamlayıcı sağlık sigortası, yemek/ulaşım desteği vb., Güçlü şirket kültürü ve sosyal bağlar"/>
    <s v="Kurulum, Taahhüt, İnşaat, İşletme, Bakım ve Onarım, Enerji Depolama, Akıllı şebeke Çözümleri"/>
    <x v="0"/>
    <s v="Yatırım Hızında ve Kapasitede Değişiklikler, Depolama ve Diğer Yeni Teknolojiler, Yerli Üretim Odaklılı"/>
  </r>
  <r>
    <d v="2026-06-16T12:25:15"/>
    <x v="6"/>
    <s v="Güneş Santralı Yatırımcısı, Mühendislik ve Teknik Müşavirlik, Kurulum, Taahhüt, İnşaat, İşletme, Bakım ve Onarım, Güneş Santrali Hizmet Sağlayıcısı (temizlik, güvenlik, vb), Yazılım ve Dijitalleşme Hizmetleri, Araştırma ve Geliştirme Faaliyetleri"/>
    <x v="2"/>
    <n v="12"/>
    <x v="12"/>
    <x v="1"/>
    <s v="%0 - 20"/>
    <s v="%41 - 60"/>
    <s v="%0 - 20"/>
    <s v="%0 - 20"/>
    <s v="%0 - 20"/>
    <x v="0"/>
    <x v="1"/>
    <x v="2"/>
    <x v="2"/>
    <s v="%61'den fazla"/>
    <s v="%61'den fazla"/>
    <s v="%0 - 10"/>
    <s v="%21 - 30"/>
    <s v="%21 - 30"/>
    <s v="%21 - 30"/>
    <s v="%41'den fazla"/>
    <s v="%31 - 40"/>
    <s v="%41'den fazla"/>
    <s v="%11 - 20"/>
    <s v="%61'den fazla"/>
    <s v="%41-60"/>
    <s v="%0-20 arası"/>
    <s v="%0-20 arası"/>
    <n v="4"/>
    <n v="1"/>
    <x v="0"/>
    <n v="5"/>
    <n v="4"/>
    <n v="3"/>
    <s v="Uzman Teknisyen ve Operatörler"/>
    <s v="Ücret ve Yan Hak Beklentileri, Teknik Yetkinlik Yetersizliği, Saha çalışmasına isteksizlik"/>
    <s v="İş hacmi ve personel sayısı birlikte azaldı."/>
    <s v="0-16 saat arası"/>
    <s v="Herhangi bir iş birliği yapılmıyor."/>
    <s v="Başka firmalardan gelen daha yüksek ücret ve yan hak teklifleri"/>
    <s v="Rekabetçi maaş ve prim sistemleri, Esnek çalışma modelleri ve iş-yaşam dengesi, Güçlü şirket kültürü ve sosyal bağlar"/>
    <s v="Veri Yönetimi ve Dijitalleşme, Enerji Depolama, Akıllı şebeke Çözümleri"/>
    <x v="3"/>
    <s v="Yatırım Hızında ve Kapasitede Değişiklikler, Mevzuat Değişiklikleri, Altyapı ve kapasite yetersizliği"/>
  </r>
  <r>
    <d v="2026-06-30T14:40:08"/>
    <x v="0"/>
    <s v="Güneş Santralı Yatırımcısı, Proje Geliştirme ve Danışmanlık, Mühendislik ve Teknik Müşavirlik, Kurulum, Taahhüt, İnşaat, İşletme, Bakım ve Onarım"/>
    <x v="2"/>
    <n v="52"/>
    <x v="13"/>
    <x v="1"/>
    <s v="%41 - 60"/>
    <s v="%41 - 60"/>
    <s v="%0 - 20"/>
    <s v="%21 - 40"/>
    <s v="%21 - 40"/>
    <x v="0"/>
    <x v="1"/>
    <x v="3"/>
    <x v="2"/>
    <s v="%0-20 arası"/>
    <s v="%0-20 arası"/>
    <s v="%21 - 30"/>
    <s v="%21 - 30"/>
    <s v="%41'den fazla"/>
    <s v="%11 - 20"/>
    <s v="%41'den fazla"/>
    <s v="%21 - 30"/>
    <s v="%31 - 40"/>
    <s v="%21 - 30"/>
    <s v="%61'den fazla"/>
    <s v="%41-60"/>
    <s v="%0-20 arası"/>
    <s v="%0-20 arası"/>
    <n v="2"/>
    <n v="3"/>
    <x v="3"/>
    <n v="2"/>
    <n v="1"/>
    <n v="5"/>
    <s v="Saha elemanı (Vasıfsız İşçi)"/>
    <s v="Ücret ve Yan Hak Beklentileri, Teknik Yetkinlik Yetersizliği, İletişim ve Dil Bariyeri"/>
    <s v="İş hacmi ve personel sayısı birlikte arttı."/>
    <s v="17-40 saat arası"/>
    <s v="Herhangi bir iş birliği yapılmıyor."/>
    <s v="Başka firmalardan gelen daha yüksek ücret ve yan hak teklifleri"/>
    <s v="Rekabetçi maaş ve prim sistemleri, Özel/tamamlayıcı sağlık sigortası, yemek/ulaşım desteği vb., Esnek çalışma modelleri ve iş-yaşam dengesi"/>
    <s v="Kurulum, Taahhüt, İnşaat, İşletme, Bakım ve Onarım, Enerji Depolama, Akıllı şebeke Çözümleri"/>
    <x v="1"/>
    <s v="Yatırım Hızında ve Kapasitede Değişiklikler, Depolama ve Diğer Yeni Teknolojiler, Yerli Üretim Odaklılı"/>
  </r>
  <r>
    <d v="2026-07-10T14:23:41"/>
    <x v="3"/>
    <s v="Güneş Santralı Yatırımcısı, Hücre ve Panel Üretimi"/>
    <x v="0"/>
    <n v="200"/>
    <x v="14"/>
    <x v="1"/>
    <s v="%0 - 20"/>
    <s v="%0 - 20"/>
    <s v="%61'den fazla"/>
    <s v="%0 - 20"/>
    <s v="%0 - 20"/>
    <x v="0"/>
    <x v="1"/>
    <x v="1"/>
    <x v="2"/>
    <s v="%21-40 arası"/>
    <s v="%21-40 arası"/>
    <s v="%0 - 10"/>
    <s v="%0 - 10"/>
    <s v="%0 - 10"/>
    <s v="%0 - 10"/>
    <s v="%11 - 20"/>
    <s v="%31 - 40"/>
    <s v="%21 - 30"/>
    <s v="%11 - 20"/>
    <s v="%61'den fazla"/>
    <s v="%21-40"/>
    <s v="%41-60 arası"/>
    <s v="%0-20 arası"/>
    <n v="3"/>
    <n v="3"/>
    <x v="3"/>
    <n v="5"/>
    <n v="3"/>
    <n v="3"/>
    <s v="Uzman Teknisyen ve Operatörler"/>
    <s v="Ücret ve Yan Hak Beklentileri, Teknik Yetkinlik Yetersizliği"/>
    <s v="İş hacmi ve personel sayısı birlikte azaldı."/>
    <s v="41-80 saat arası"/>
    <s v="Uzun dönemli staj ve aday mühendis programları"/>
    <s v="Farklı bir sektöre geçiş yapma isteği"/>
    <s v="Rekabetçi maaş ve prim sistemleri, Özel/tamamlayıcı sağlık sigortası, yemek/ulaşım desteği vb., Güçlü şirket kültürü ve sosyal bağlar"/>
    <s v="Veri Yönetimi ve Dijitalleşme, Enerji Depolama, Akıllı şebeke Çözümleri"/>
    <x v="1"/>
    <s v="Depolama ve Diğer Yeni Teknolojiler, Yerli Üretim Odaklılı, Mevzuat Değişiklikleri"/>
  </r>
  <r>
    <d v="2026-07-10T14:56:38"/>
    <x v="7"/>
    <s v="Hücre ve Panel Üretimi"/>
    <x v="1"/>
    <n v="650"/>
    <x v="15"/>
    <x v="1"/>
    <s v="%0 - 20"/>
    <s v="%0 - 20"/>
    <s v="%41 - 60"/>
    <s v="%0 - 20"/>
    <s v="%0 - 20"/>
    <x v="0"/>
    <x v="1"/>
    <x v="2"/>
    <x v="2"/>
    <s v="%21-40 arası"/>
    <s v="%0-20 arası"/>
    <s v="%11 - 20"/>
    <s v="%11 - 20"/>
    <s v="%0 - 10"/>
    <s v="%11 - 20"/>
    <s v="%0 - 10"/>
    <s v="%11 - 20"/>
    <s v="%31 - 40"/>
    <s v="%11 - 20"/>
    <s v="%61'den fazla"/>
    <s v="%0 - 20"/>
    <s v="%0-20 arası"/>
    <s v="%0-20 arası"/>
    <n v="4"/>
    <n v="4"/>
    <x v="2"/>
    <n v="3"/>
    <n v="4"/>
    <n v="3"/>
    <s v="Saha elemanı (Vasıfsız İşçi)"/>
    <s v="Ücret ve Yan Hak Beklentileri, Teknik Yetkinlik Yetersizliği, Saha çalışmasına isteksizlik"/>
    <s v="İş hacmi arttı, personel sayısı sabit kaldı / azaldı."/>
    <s v="0-16 saat arası"/>
    <s v="Uzun dönemli staj ve aday mühendis programları"/>
    <s v="Başka firmalardan gelen daha yüksek ücret ve yan hak teklifleri"/>
    <s v="Rekabetçi maaş ve prim sistemleri, Özel/tamamlayıcı sağlık sigortası, yemek/ulaşım desteği vb., Güçlü şirket kültürü ve sosyal bağlar"/>
    <s v="Panel, Hücre veya Ekipman Üretimi, Veri Yönetimi ve Dijitalleşme, Akıllı şebeke Çözümleri"/>
    <x v="2"/>
    <s v="Yatırım Hızında ve Kapasitede Değişiklikler, Teşvikler"/>
  </r>
  <r>
    <d v="2026-07-10T16:13:15"/>
    <x v="3"/>
    <s v="Güneş Santralı Yatırımcısı, Mühendislik ve Teknik Müşavirlik, Kurulum, Taahhüt, İnşaat, İşletme, Bakım ve Onarım, Güneş Santrali Hizmet Sağlayıcısı (temizlik, güvenlik, vb), Hücre ve Panel Üretimi, Güneş Santrali Sistem Bileşeni Üretimi (evirici, konstrüksiyon, kablolama, vb.), Yazılım ve Dijitalleşme Hizmetleri"/>
    <x v="1"/>
    <n v="450"/>
    <x v="16"/>
    <x v="1"/>
    <s v="%0 - 20"/>
    <s v="%0 - 20"/>
    <s v="%41 - 60"/>
    <s v="%0 - 20"/>
    <s v="%0 - 20"/>
    <x v="0"/>
    <x v="1"/>
    <x v="1"/>
    <x v="0"/>
    <s v="%21-40 arası"/>
    <s v="%0-20 arası"/>
    <s v="%0 - 10"/>
    <s v="%11 - 20"/>
    <s v="%0 - 10"/>
    <s v="%11 - 20"/>
    <s v="%11 - 20"/>
    <s v="%11 - 20"/>
    <s v="%31 - 40"/>
    <s v="%0 - 10"/>
    <s v="%61'den fazla"/>
    <s v="%21-40"/>
    <s v="%41-60 arası"/>
    <s v="%21-40 arası"/>
    <n v="5"/>
    <n v="3"/>
    <x v="1"/>
    <n v="2"/>
    <n v="2"/>
    <n v="4"/>
    <s v="Uzman Teknisyen ve Operatörler"/>
    <s v="Ücret ve Yan Hak Beklentileri, Coğrafi Lokasyon Zorlukları, Saha çalışmasına isteksizlik"/>
    <s v="İş hacmi ve personel sayısı birlikte azaldı."/>
    <s v="81 saat ve üzeri"/>
    <s v="MEB ÇIRAKLIK EĞİTİMİ, STAJYER VE İŞKUR PROGRAMLARI"/>
    <s v="Saha çalışmalarının yarattığı iş-yaşam dengesi sorunları"/>
    <s v="Rekabetçi maaş ve prim sistemleri, Özel/tamamlayıcı sağlık sigortası, yemek/ulaşım desteği vb., Güçlü şirket kültürü ve sosyal bağlar"/>
    <s v="Panel, Hücre veya Ekipman Üretimi, Veri Yönetimi ve Dijitalleşme, Enerji Depolama"/>
    <x v="4"/>
    <s v="Yatırım Hızında ve Kapasitede Değişiklikler, Depolama ve Diğer Yeni Teknolojiler, Teşvikler"/>
  </r>
  <r>
    <d v="2026-07-13T11:40:45"/>
    <x v="3"/>
    <s v="Mühendislik ve Teknik Müşavirlik, Kurulum, Taahhüt, İnşaat, İşletme, Bakım ve Onarım, Hücre ve Panel Üretimi"/>
    <x v="2"/>
    <n v="69"/>
    <x v="17"/>
    <x v="1"/>
    <s v="%0 - 20"/>
    <s v="%0 - 20"/>
    <s v="%41 - 60"/>
    <s v="%0 - 20"/>
    <s v="%0 - 20"/>
    <x v="0"/>
    <x v="1"/>
    <x v="3"/>
    <x v="0"/>
    <s v="%21-40 arası"/>
    <s v="%21-40 arası"/>
    <s v="%0 - 10"/>
    <s v="%0 - 10"/>
    <s v="%0 - 10"/>
    <s v="%0 - 10"/>
    <s v="%0 - 10"/>
    <s v="%0 - 10"/>
    <s v="%0 - 10"/>
    <s v="%0 - 10"/>
    <s v="%61'den fazla"/>
    <s v="%0 - 20"/>
    <s v="%21-40 arası"/>
    <s v="%41-60 arası"/>
    <n v="4"/>
    <n v="2"/>
    <x v="3"/>
    <n v="5"/>
    <n v="1"/>
    <n v="4"/>
    <s v="Uzman Teknisyen ve Operatörler"/>
    <s v="Saha çalışmasına isteksizlik, İletişim ve Dil Bariyeri"/>
    <s v="İş hacmi azaldı, personel sayısı sabit kaldı / arttı."/>
    <s v="41-80 saat arası"/>
    <s v="Herhangi bir iş birliği yapılmıyor."/>
    <s v="Saha çalışmalarının yarattığı iş-yaşam dengesi sorunları"/>
    <s v="Kariyer gelişimi ve sürekli öğrenme, Esnek çalışma modelleri ve iş-yaşam dengesi, İşin anlamı ve sosyal etki"/>
    <s v="Kurulum, Taahhüt, İnşaat, İşletme, Bakım ve Onarım, Enerji Depolama, Akıllı şebeke Çözümleri"/>
    <x v="1"/>
    <s v="Yatırım Hızında ve Kapasitede Değişiklikler, Mevzuat Değişiklikleri, Teşvikler"/>
  </r>
  <r>
    <d v="2026-07-13T12:02:24"/>
    <x v="2"/>
    <s v="Güneş Santralı Yatırımcısı, Mühendislik ve Teknik Müşavirlik"/>
    <x v="1"/>
    <n v="8"/>
    <x v="13"/>
    <x v="1"/>
    <s v="%61'den fazla"/>
    <s v="%61'den fazla"/>
    <s v="%0 - 20"/>
    <s v="%41 - 60"/>
    <s v="%41 - 60"/>
    <x v="0"/>
    <x v="1"/>
    <x v="3"/>
    <x v="1"/>
    <s v="%0-20 arası"/>
    <s v="%0-20 arası"/>
    <s v="%0 - 10"/>
    <s v="%21 - 30"/>
    <s v="%21 - 30"/>
    <s v="%21 - 30"/>
    <s v="%41'den fazla"/>
    <s v="%31 - 40"/>
    <s v="%31 - 40"/>
    <s v="%0 - 10"/>
    <s v="%61'den fazla"/>
    <s v="%41-60"/>
    <s v="%0-20 arası"/>
    <s v="%21-40 arası"/>
    <n v="1"/>
    <n v="3"/>
    <x v="0"/>
    <n v="5"/>
    <n v="1"/>
    <n v="3"/>
    <s v="Uzman Teknisyen ve Operatörler"/>
    <s v="Ücret ve Yan Hak Beklentileri, Teknik Yetkinlik Yetersizliği, Saha çalışmasına isteksizlik"/>
    <s v="İş hacmi sabit kaldı, personel sayısı azaldı."/>
    <s v="0-16 saat arası"/>
    <s v="Herhangi bir iş birliği yapılmıyor."/>
    <s v="Başka firmalardan gelen daha yüksek ücret ve yan hak teklifleri"/>
    <s v="Rekabetçi maaş ve prim sistemleri, Özel/tamamlayıcı sağlık sigortası, yemek/ulaşım desteği vb., Esnek çalışma modelleri ve iş-yaşam dengesi"/>
    <s v="Proje Geliştirme ve Mühendislik Tasarımı, Kurulum, Taahhüt, İnşaat, İşletme, Bakım ve Onarım, Enerji Depolama"/>
    <x v="4"/>
    <s v="Yatırım Hızında ve Kapasitede Değişiklikler, Depolama ve Diğer Yeni Teknolojiler, Mevzuat Değişiklikleri"/>
  </r>
  <r>
    <d v="2026-07-13T12:47:29"/>
    <x v="4"/>
    <s v="Araştırma ve Geliştirme Faaliyetleri"/>
    <x v="0"/>
    <n v="7"/>
    <x v="14"/>
    <x v="1"/>
    <s v="%41 - 60"/>
    <s v="%0 - 20"/>
    <s v="%0 - 20"/>
    <s v="%21 - 40"/>
    <s v="%41 - 60"/>
    <x v="0"/>
    <x v="1"/>
    <x v="2"/>
    <x v="2"/>
    <s v="%0-20 arası"/>
    <s v="%0-20 arası"/>
    <s v="%21 - 30"/>
    <s v="%21 - 30"/>
    <s v="%11 - 20"/>
    <s v="%21 - 30"/>
    <s v="%0 - 10"/>
    <s v="%11 - 20"/>
    <s v="%0 - 10"/>
    <s v="%0 - 10"/>
    <s v="%41-60"/>
    <s v="%21-40"/>
    <s v="%21-40 arası"/>
    <s v="%0-20 arası"/>
    <n v="4"/>
    <n v="4"/>
    <x v="2"/>
    <n v="2"/>
    <n v="2"/>
    <n v="3"/>
    <s v="Proje Uzmanı / Mühendis"/>
    <s v="Teknik Yetkinlik Yetersizliği, Coğrafi Lokasyon Zorlukları, Saha çalışmasına isteksizlik"/>
    <s v="İş hacmi sabit kaldı, personel sayısı azaldı."/>
    <s v="17-40 saat arası"/>
    <s v="Herhangi bir iş birliği yapılmıyor."/>
    <s v="Şirket içindeki kariyer ilerleme imkanlarının belirsizliği"/>
    <s v="Rekabetçi maaş ve prim sistemleri, Esnek çalışma modelleri ve iş-yaşam dengesi"/>
    <s v="Veri Yönetimi ve Dijitalleşme, Enerji Depolama, Akıllı şebeke Çözümleri"/>
    <x v="2"/>
    <s v="Yatırım Hızında ve Kapasitede Değişiklikl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29499A-599C-4C8C-B980-EABF43C0DED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G11" firstHeaderRow="1" firstDataRow="2" firstDataCol="1"/>
  <pivotFields count="26">
    <pivotField numFmtId="164" showAll="0"/>
    <pivotField showAll="0">
      <items count="6">
        <item x="4"/>
        <item x="3"/>
        <item x="0"/>
        <item x="1"/>
        <item x="2"/>
        <item t="default"/>
      </items>
    </pivotField>
    <pivotField showAll="0">
      <items count="4">
        <item x="2"/>
        <item x="0"/>
        <item x="1"/>
        <item t="default"/>
      </items>
    </pivotField>
    <pivotField showAll="0">
      <items count="5">
        <item x="0"/>
        <item x="2"/>
        <item x="3"/>
        <item x="1"/>
        <item t="default"/>
      </items>
    </pivotField>
    <pivotField showAll="0">
      <items count="10">
        <item x="0"/>
        <item x="8"/>
        <item x="6"/>
        <item x="1"/>
        <item x="5"/>
        <item x="4"/>
        <item x="3"/>
        <item x="2"/>
        <item x="7"/>
        <item t="default"/>
      </items>
    </pivotField>
    <pivotField showAll="0">
      <items count="7">
        <item x="0"/>
        <item x="1"/>
        <item x="5"/>
        <item x="4"/>
        <item x="3"/>
        <item x="2"/>
        <item t="default"/>
      </items>
    </pivotField>
    <pivotField showAll="0">
      <items count="6">
        <item x="4"/>
        <item x="1"/>
        <item x="0"/>
        <item x="2"/>
        <item x="3"/>
        <item t="default"/>
      </items>
    </pivotField>
    <pivotField showAll="0">
      <items count="17">
        <item x="5"/>
        <item x="8"/>
        <item x="7"/>
        <item x="11"/>
        <item x="1"/>
        <item x="9"/>
        <item x="15"/>
        <item x="13"/>
        <item x="2"/>
        <item x="3"/>
        <item x="0"/>
        <item x="6"/>
        <item x="4"/>
        <item x="10"/>
        <item x="14"/>
        <item x="12"/>
        <item t="default"/>
      </items>
    </pivotField>
    <pivotField showAll="0">
      <items count="6">
        <item x="0"/>
        <item x="4"/>
        <item x="3"/>
        <item x="2"/>
        <item x="1"/>
        <item t="default"/>
      </items>
    </pivotField>
    <pivotField showAll="0">
      <items count="7">
        <item x="4"/>
        <item x="5"/>
        <item x="0"/>
        <item x="2"/>
        <item x="1"/>
        <item x="3"/>
        <item t="default"/>
      </items>
    </pivotField>
    <pivotField showAll="0">
      <items count="5">
        <item x="3"/>
        <item x="0"/>
        <item x="2"/>
        <item x="1"/>
        <item t="default"/>
      </items>
    </pivotField>
    <pivotField showAll="0">
      <items count="6">
        <item x="4"/>
        <item x="3"/>
        <item x="0"/>
        <item x="2"/>
        <item x="1"/>
        <item t="default"/>
      </items>
    </pivotField>
    <pivotField showAll="0">
      <items count="6">
        <item x="2"/>
        <item x="3"/>
        <item x="0"/>
        <item x="4"/>
        <item x="1"/>
        <item t="default"/>
      </items>
    </pivotField>
    <pivotField showAll="0">
      <items count="6">
        <item x="3"/>
        <item x="4"/>
        <item x="0"/>
        <item x="2"/>
        <item x="1"/>
        <item t="default"/>
      </items>
    </pivotField>
    <pivotField showAll="0">
      <items count="6">
        <item x="3"/>
        <item x="4"/>
        <item x="0"/>
        <item x="2"/>
        <item x="1"/>
        <item t="default"/>
      </items>
    </pivotField>
    <pivotField showAll="0">
      <items count="6">
        <item x="4"/>
        <item x="3"/>
        <item x="0"/>
        <item x="2"/>
        <item x="1"/>
        <item t="default"/>
      </items>
    </pivotField>
    <pivotField showAll="0">
      <items count="5">
        <item x="3"/>
        <item x="0"/>
        <item x="2"/>
        <item x="1"/>
        <item t="default"/>
      </items>
    </pivotField>
    <pivotField showAll="0">
      <items count="6">
        <item x="1"/>
        <item x="2"/>
        <item x="0"/>
        <item x="3"/>
        <item x="4"/>
        <item t="default"/>
      </items>
    </pivotField>
    <pivotField showAll="0">
      <items count="6">
        <item x="3"/>
        <item x="4"/>
        <item x="2"/>
        <item x="0"/>
        <item x="1"/>
        <item t="default"/>
      </items>
    </pivotField>
    <pivotField showAll="0">
      <items count="6">
        <item x="2"/>
        <item x="3"/>
        <item x="4"/>
        <item x="1"/>
        <item x="0"/>
        <item t="default"/>
      </items>
    </pivotField>
    <pivotField axis="axisCol" dataField="1" showAll="0">
      <items count="6">
        <item x="4"/>
        <item x="2"/>
        <item x="3"/>
        <item x="1"/>
        <item x="0"/>
        <item t="default"/>
      </items>
    </pivotField>
    <pivotField showAll="0">
      <items count="5">
        <item x="3"/>
        <item x="1"/>
        <item x="0"/>
        <item x="2"/>
        <item t="default"/>
      </items>
    </pivotField>
    <pivotField showAll="0">
      <items count="5">
        <item x="0"/>
        <item x="2"/>
        <item x="3"/>
        <item x="1"/>
        <item t="default"/>
      </items>
    </pivotField>
    <pivotField showAll="0">
      <items count="16">
        <item x="3"/>
        <item x="10"/>
        <item x="13"/>
        <item x="14"/>
        <item x="9"/>
        <item x="1"/>
        <item x="4"/>
        <item x="2"/>
        <item x="8"/>
        <item x="6"/>
        <item x="7"/>
        <item x="12"/>
        <item x="0"/>
        <item x="5"/>
        <item x="11"/>
        <item t="default"/>
      </items>
    </pivotField>
    <pivotField axis="axisRow" showAll="0">
      <items count="7">
        <item x="5"/>
        <item x="4"/>
        <item x="2"/>
        <item x="0"/>
        <item x="3"/>
        <item x="1"/>
        <item t="default"/>
      </items>
    </pivotField>
    <pivotField showAll="0"/>
  </pivotFields>
  <rowFields count="1">
    <field x="24"/>
  </rowFields>
  <rowItems count="7">
    <i>
      <x/>
    </i>
    <i>
      <x v="1"/>
    </i>
    <i>
      <x v="2"/>
    </i>
    <i>
      <x v="3"/>
    </i>
    <i>
      <x v="4"/>
    </i>
    <i>
      <x v="5"/>
    </i>
    <i t="grand">
      <x/>
    </i>
  </rowItems>
  <colFields count="1">
    <field x="20"/>
  </colFields>
  <colItems count="6">
    <i>
      <x/>
    </i>
    <i>
      <x v="1"/>
    </i>
    <i>
      <x v="2"/>
    </i>
    <i>
      <x v="3"/>
    </i>
    <i>
      <x v="4"/>
    </i>
    <i t="grand">
      <x/>
    </i>
  </colItems>
  <dataFields count="1">
    <dataField name="Count of Önümüzdeki 2 yıllık süreçte, mesleki yetkinliklerimi artırmaya yönelik (eğitim, sertifika vb.) girişimlerde bulunmayı planlıyorum." fld="20" subtotal="count" baseField="2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7FAF01-2734-4B43-8BE9-4E721D39FC31}" name="PivotTable1"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7" firstHeaderRow="1" firstDataRow="1" firstDataCol="1"/>
  <pivotFields count="46">
    <pivotField numFmtId="164" showAll="0"/>
    <pivotField showAll="0">
      <items count="9">
        <item x="5"/>
        <item x="1"/>
        <item x="7"/>
        <item x="3"/>
        <item x="2"/>
        <item x="0"/>
        <item x="6"/>
        <item x="4"/>
        <item t="default"/>
      </items>
    </pivotField>
    <pivotField showAll="0"/>
    <pivotField showAll="0">
      <items count="5">
        <item x="3"/>
        <item x="1"/>
        <item x="0"/>
        <item x="2"/>
        <item t="default"/>
      </items>
    </pivotField>
    <pivotField showAll="0"/>
    <pivotField showAll="0">
      <items count="19">
        <item x="2"/>
        <item x="11"/>
        <item x="10"/>
        <item x="6"/>
        <item x="16"/>
        <item x="12"/>
        <item x="7"/>
        <item x="5"/>
        <item x="8"/>
        <item x="15"/>
        <item x="17"/>
        <item x="1"/>
        <item x="9"/>
        <item x="14"/>
        <item x="13"/>
        <item x="3"/>
        <item x="0"/>
        <item x="4"/>
        <item t="default"/>
      </items>
    </pivotField>
    <pivotField showAll="0">
      <items count="4">
        <item x="1"/>
        <item x="2"/>
        <item x="0"/>
        <item t="default"/>
      </items>
    </pivotField>
    <pivotField showAll="0"/>
    <pivotField showAll="0"/>
    <pivotField showAll="0"/>
    <pivotField showAll="0"/>
    <pivotField showAll="0"/>
    <pivotField showAll="0">
      <items count="2">
        <item x="0"/>
        <item t="default"/>
      </items>
    </pivotField>
    <pivotField showAll="0">
      <items count="4">
        <item x="1"/>
        <item x="0"/>
        <item x="2"/>
        <item t="default"/>
      </items>
    </pivotField>
    <pivotField showAll="0">
      <items count="5">
        <item x="2"/>
        <item x="1"/>
        <item x="3"/>
        <item x="0"/>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1"/>
        <item x="2"/>
        <item x="0"/>
        <item x="3"/>
        <item x="4"/>
        <item t="default"/>
      </items>
    </pivotField>
    <pivotField showAll="0"/>
  </pivotFields>
  <rowFields count="1">
    <field x="44"/>
  </rowFields>
  <rowItems count="6">
    <i>
      <x/>
    </i>
    <i>
      <x v="1"/>
    </i>
    <i>
      <x v="2"/>
    </i>
    <i>
      <x v="3"/>
    </i>
    <i>
      <x v="4"/>
    </i>
    <i t="grand">
      <x/>
    </i>
  </rowItems>
  <colItems count="1">
    <i/>
  </colItems>
  <dataFields count="1">
    <dataField name="Count of Önümüzdeki 2 yılda, firmanızın mevcut istihdam hacminde öngördüğünüz değişim oranı nedir? " fld="44" subtotal="count" baseField="4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Z49">
  <tableColumns count="26">
    <tableColumn id="1" xr3:uid="{00000000-0010-0000-0000-000001000000}" name="Timestamp"/>
    <tableColumn id="2" xr3:uid="{00000000-0010-0000-0000-000002000000}" name="Yaşınız:"/>
    <tableColumn id="3" xr3:uid="{00000000-0010-0000-0000-000003000000}" name="Cinsiyetiniz:"/>
    <tableColumn id="4" xr3:uid="{00000000-0010-0000-0000-000004000000}" name="Güneş enerjisi sektöründeki toplam iş deneyiminiz:"/>
    <tableColumn id="5" xr3:uid="{00000000-0010-0000-0000-000005000000}" name="Şu an sektörün hangi ana faaliyet alanında çalışmaktasınız? (Birden fazla alan varsa en çok zaman ayırdığınızı seçiniz): "/>
    <tableColumn id="6" xr3:uid="{00000000-0010-0000-0000-000006000000}" name="Çalıştığınız firmanın toplam personel sayısı nedir?"/>
    <tableColumn id="7" xr3:uid="{00000000-0010-0000-0000-000007000000}" name="Tamamladığınız en yüksek eğitim seviyesini belirtiniz."/>
    <tableColumn id="8" xr3:uid="{00000000-0010-0000-0000-000008000000}" name="Halihazırda sahip olduğunuz mesleki sertifikalar nelerdir? (Birden fazla seçilebilir) "/>
    <tableColumn id="9" xr3:uid="{00000000-0010-0000-0000-000009000000}" name="Okuduğum okullarda aldığım eğitim şu an yürüttüğüm görevle doğrudan ilişkilidir. "/>
    <tableColumn id="10" xr3:uid="{00000000-0010-0000-0000-00000A000000}" name="Sahip olduğum mesleki sertifikalar (MYK vb.), yaptığım işin kalitesine ve iş güvenliği farkındalığıma olumlu katkı sağlıyor."/>
    <tableColumn id="11" xr3:uid="{00000000-0010-0000-0000-00000B000000}" name="İşimdeki yenilikleri ve yeni teknolojileri öğrenebilmem için şirketim bana yeterli eğitim desteği veriyor."/>
    <tableColumn id="12" xr3:uid="{00000000-0010-0000-0000-00000C000000}" name="Yaptığım işin zorluğuna, sorumluluğuma ve tecrübeme göre, aldığım maaş ve primlerin yeterli olduğunu düşünüyorum."/>
    <tableColumn id="13" xr3:uid="{00000000-0010-0000-0000-00000D000000}" name="Çalıştığım şirket fazla mesai ve resmî tatil ödemesi veya izin kullanımı konularında çalışan haklarına uygun davranıyor.  "/>
    <tableColumn id="14" xr3:uid="{00000000-0010-0000-0000-00000E000000}" name="Şehir dışı görevlerde sunulan konaklama, ulaşım ve harcırah imkanlarının kalite ve miktarından memnunum.  "/>
    <tableColumn id="15" xr3:uid="{00000000-0010-0000-0000-00000F000000}" name="Mevcut teknik bilgi ve tecrübem sayesinde işsiz kalma endişem yoktur.  "/>
    <tableColumn id="16" xr3:uid="{00000000-0010-0000-0000-000010000000}" name="Şirketinizin piyasadaki durumu ve proje alma potansiyeli sayesinde işsiz kalma endişem yoktur.  "/>
    <tableColumn id="17" xr3:uid="{00000000-0010-0000-0000-000011000000}" name="Güneş enerjisi gibi temiz geleceğe hizmet eden bir sektörde çalışmak iş memnuniyetime önemli ölçüde katkı sağlıyor."/>
    <tableColumn id="18" xr3:uid="{00000000-0010-0000-0000-000012000000}" name="Mevsimsel yoğunluklar ve saha çalışmaları, işimle özel hayatım arasındaki dengeyi olumsuz etkiliyor."/>
    <tableColumn id="19" xr3:uid="{00000000-0010-0000-0000-000013000000}" name="Türkiye’deki güneş enerjisi sektörünün önümüzdeki 10 yıl içinde istikrarlı bir şekilde büyüyeceğine ve uzun vadeli bir kariyer için güvenli bir alan olduğunda inanıyorum."/>
    <tableColumn id="20" xr3:uid="{00000000-0010-0000-0000-000014000000}" name="Projeler kapsamında farklı konumlarda (şehir dışı/yurt dışı) görev alma konusunda çekincem yoktur. "/>
    <tableColumn id="21" xr3:uid="{00000000-0010-0000-0000-000015000000}" name="Önümüzdeki 2 yıllık süreçte, mesleki yetkinliklerimi artırmaya yönelik (eğitim, sertifika vb.) girişimlerde bulunmayı planlıyorum."/>
    <tableColumn id="22" xr3:uid="{00000000-0010-0000-0000-000016000000}" name="Taşeron (alt yüklenici) bir firmada çalışıyor olmanızın, iş sürekliliğiniz (her zaman iş bulabilme) üzerindeki etkisi nedir?  "/>
    <tableColumn id="23" xr3:uid="{00000000-0010-0000-0000-000017000000}" name="Güneş enerjisi sektöründeki maaş seviyelerini; bildiğiniz veya deneyimlediğiniz diğer sektörlerle (inşaat, elektrik vb.) kıyasladığınızda nasıl buluyorsunuz? "/>
    <tableColumn id="24" xr3:uid="{00000000-0010-0000-0000-000018000000}" name="Güneş enerjisi sektöründeki kariyerinizi uzun vadeli sürdürmenizde aşağıdaki imkanlardan hangisi en belirleyici etkendir?  "/>
    <tableColumn id="25" xr3:uid="{00000000-0010-0000-0000-000019000000}" name="Önümüzdeki 5 yıllık süreçte profesyonel kariyerinizi hangi alanda sürdürmeyi planlıyorsunuz? "/>
    <tableColumn id="26" xr3:uid="{00000000-0010-0000-0000-00001A000000}" name="Proje: Bu çalışma ODTÜ, ODTÜ-GÜNAM, GÜNDER ve TÜBİTAK'ın da katılımcıları arasında yer aldığı, Avrupa Komisyonu tarafından desteklenen SolarHub Projesi (101086110) kapsamında yürütülmektedir._x000a_Bilgilerin Doğruluğu: Tarafınızca sağlanan bilgilerin, bilginiz"/>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74F198-8044-4201-9F01-056455DA51D1}" name="Form_Responses3" displayName="Form_Responses3" ref="A1:Z45">
  <autoFilter ref="A1:Z45" xr:uid="{BE74F198-8044-4201-9F01-056455DA51D1}"/>
  <tableColumns count="26">
    <tableColumn id="1" xr3:uid="{64918EE0-8485-4D13-84C6-A8B344A1ECDD}" name="Timestamp"/>
    <tableColumn id="2" xr3:uid="{C096BB84-642C-40F9-8A82-630FCC72C0D7}" name="Yaşınız:"/>
    <tableColumn id="3" xr3:uid="{1DB833A8-4B24-4F4E-BE64-256157F56FB1}" name="Cinsiyetiniz:"/>
    <tableColumn id="4" xr3:uid="{7DCE0595-3B5D-49F8-B8B0-D09D5EFBB477}" name="Güneş enerjisi sektöründeki toplam iş deneyiminiz:"/>
    <tableColumn id="5" xr3:uid="{1AE852DF-1C28-47E0-933D-A091596681F1}" name="Şu an sektörün hangi ana faaliyet alanında çalışmaktasınız? (Birden fazla alan varsa en çok zaman ayırdığınızı seçiniz): "/>
    <tableColumn id="6" xr3:uid="{7C0BB465-AE85-4808-A4BC-E8B694424C73}" name="Çalıştığınız firmanın toplam personel sayısı nedir?"/>
    <tableColumn id="7" xr3:uid="{4B9CE501-B2C8-4823-88B6-58F8FE4EB20C}" name="Tamamladığınız en yüksek eğitim seviyesini belirtiniz."/>
    <tableColumn id="8" xr3:uid="{93D4FA01-532A-4FFD-B04B-F469FCB7B768}" name="Halihazırda sahip olduğunuz mesleki sertifikalar nelerdir? (Birden fazla seçilebilir) "/>
    <tableColumn id="9" xr3:uid="{3FE61745-D3BA-4136-9363-45FA50714439}" name="Okuduğum okullarda aldığım eğitim şu an yürüttüğüm görevle doğrudan ilişkilidir. "/>
    <tableColumn id="10" xr3:uid="{D394AB92-E0AD-4348-9DB6-BFF760A5C8E9}" name="Sahip olduğum mesleki sertifikalar (MYK vb.), yaptığım işin kalitesine ve iş güvenliği farkındalığıma olumlu katkı sağlıyor."/>
    <tableColumn id="11" xr3:uid="{7FE0C798-AB2B-4E28-A89D-BF9CFECD0945}" name="İşimdeki yenilikleri ve yeni teknolojileri öğrenebilmem için şirketim bana yeterli eğitim desteği veriyor."/>
    <tableColumn id="12" xr3:uid="{55A0F2AB-6AC2-479E-80CF-61B698AE1C8A}" name="Yaptığım işin zorluğuna, sorumluluğuma ve tecrübeme göre, aldığım maaş ve primlerin yeterli olduğunu düşünüyorum."/>
    <tableColumn id="13" xr3:uid="{B4A4CEE3-837D-4488-9FA7-46A00C84773B}" name="Çalıştığım şirket fazla mesai ve resmî tatil ödemesi veya izin kullanımı konularında çalışan haklarına uygun davranıyor.  "/>
    <tableColumn id="14" xr3:uid="{F507AD28-81CD-4BBE-94F2-FD709C9DDB85}" name="Şehir dışı görevlerde sunulan konaklama, ulaşım ve harcırah imkanlarının kalite ve miktarından memnunum.  "/>
    <tableColumn id="15" xr3:uid="{91B40608-26B8-4DF8-9367-A4739BC8D4D5}" name="Mevcut teknik bilgi ve tecrübem sayesinde işsiz kalma endişem yoktur.  "/>
    <tableColumn id="16" xr3:uid="{FA2CD978-DB6D-4D9E-B4E7-104D79B175F6}" name="Şirketinizin piyasadaki durumu ve proje alma potansiyeli sayesinde işsiz kalma endişem yoktur.  "/>
    <tableColumn id="17" xr3:uid="{A27C3EFE-F4BE-4F38-BD23-126B90E3BF12}" name="Güneş enerjisi gibi temiz geleceğe hizmet eden bir sektörde çalışmak iş memnuniyetime önemli ölçüde katkı sağlıyor."/>
    <tableColumn id="18" xr3:uid="{C3DB7C44-F408-4470-A250-4615771113F4}" name="Mevsimsel yoğunluklar ve saha çalışmaları, işimle özel hayatım arasındaki dengeyi olumsuz etkiliyor."/>
    <tableColumn id="19" xr3:uid="{415E674F-87C4-44AA-BBB4-F0AA80CC9B76}" name="Türkiye’deki güneş enerjisi sektörünün önümüzdeki 10 yıl içinde istikrarlı bir şekilde büyüyeceğine ve uzun vadeli bir kariyer için güvenli bir alan olduğunda inanıyorum."/>
    <tableColumn id="20" xr3:uid="{795C73C9-52BB-47FA-912C-53D37D66C7E4}" name="Projeler kapsamında farklı konumlarda (şehir dışı/yurt dışı) görev alma konusunda çekincem yoktur. "/>
    <tableColumn id="21" xr3:uid="{FD46EE20-1C23-4376-8F1B-5D38DDCA4148}" name="Önümüzdeki 2 yıllık süreçte, mesleki yetkinliklerimi artırmaya yönelik (eğitim, sertifika vb.) girişimlerde bulunmayı planlıyorum."/>
    <tableColumn id="22" xr3:uid="{4FFD488C-75B8-4B2C-97B4-0B89CED9E3E0}" name="Taşeron (alt yüklenici) bir firmada çalışıyor olmanızın, iş sürekliliğiniz (her zaman iş bulabilme) üzerindeki etkisi nedir?  "/>
    <tableColumn id="23" xr3:uid="{D4C586A4-B361-4711-8820-B22691E852B0}" name="Güneş enerjisi sektöründeki maaş seviyelerini; bildiğiniz veya deneyimlediğiniz diğer sektörlerle (inşaat, elektrik vb.) kıyasladığınızda nasıl buluyorsunuz? "/>
    <tableColumn id="24" xr3:uid="{6311F490-9D2D-4027-AE23-2E3B22C6037C}" name="Güneş enerjisi sektöründeki kariyerinizi uzun vadeli sürdürmenizde aşağıdaki imkanlardan hangisi en belirleyici etkendir?  "/>
    <tableColumn id="25" xr3:uid="{388A8625-7910-4430-8A1A-ECA830A5166A}" name="Önümüzdeki 5 yıllık süreçte profesyonel kariyerinizi hangi alanda sürdürmeyi planlıyorsunuz? "/>
    <tableColumn id="26" xr3:uid="{C677D044-2DE0-43AB-953C-62F4CDD8504D}" name="Proje: Bu çalışma ODTÜ, ODTÜ-GÜNAM, GÜNDER ve TÜBİTAK'ın da katılımcıları arasında yer aldığı, Avrupa Komisyonu tarafından desteklenen SolarHub Projesi (101086110) kapsamında yürütülmektedir._x000a_Bilgilerin Doğruluğu: Tarafınızca sağlanan bilgilerin, bilginiz"/>
  </tableColumns>
  <tableStyleInfo name="Form Responses 1-style" showFirstColumn="1" showLastColumn="1"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49"/>
  <sheetViews>
    <sheetView zoomScale="70" zoomScaleNormal="70" workbookViewId="0">
      <pane ySplit="1" topLeftCell="A2" activePane="bottomLeft" state="frozen"/>
      <selection pane="bottomLeft" activeCell="A5" sqref="A2:XFD5"/>
    </sheetView>
  </sheetViews>
  <sheetFormatPr defaultColWidth="12.5703125" defaultRowHeight="15.75" customHeight="1" x14ac:dyDescent="0.25"/>
  <cols>
    <col min="1" max="3" width="18.85546875" customWidth="1"/>
    <col min="4" max="26" width="37.5703125" customWidth="1"/>
    <col min="27" max="32" width="18.85546875" customWidth="1"/>
  </cols>
  <sheetData>
    <row r="1" spans="1:26"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22.5" customHeight="1" x14ac:dyDescent="0.25">
      <c r="A2" s="2">
        <v>46071.912228032408</v>
      </c>
      <c r="B2" s="3"/>
      <c r="C2" s="3"/>
      <c r="D2" s="3"/>
      <c r="E2" s="3"/>
      <c r="F2" s="3"/>
      <c r="G2" s="3"/>
      <c r="H2" s="3"/>
      <c r="I2" s="3"/>
      <c r="J2" s="3"/>
      <c r="K2" s="3"/>
      <c r="L2" s="3"/>
      <c r="M2" s="3"/>
      <c r="N2" s="3"/>
      <c r="O2" s="3"/>
      <c r="P2" s="3"/>
      <c r="Q2" s="3"/>
      <c r="R2" s="3"/>
      <c r="S2" s="3"/>
      <c r="T2" s="3"/>
      <c r="U2" s="3"/>
      <c r="V2" s="3"/>
      <c r="W2" s="3"/>
      <c r="X2" s="3"/>
      <c r="Y2" s="3"/>
      <c r="Z2" s="3"/>
    </row>
    <row r="3" spans="1:26" ht="22.5" customHeight="1" x14ac:dyDescent="0.25">
      <c r="A3" s="2">
        <v>46077.928241238427</v>
      </c>
      <c r="B3" s="4" t="s">
        <v>26</v>
      </c>
      <c r="C3" s="4" t="s">
        <v>27</v>
      </c>
      <c r="D3" s="4" t="s">
        <v>28</v>
      </c>
      <c r="E3" s="4" t="s">
        <v>29</v>
      </c>
      <c r="F3" s="4" t="s">
        <v>30</v>
      </c>
      <c r="G3" s="4" t="s">
        <v>31</v>
      </c>
      <c r="H3" s="4" t="s">
        <v>32</v>
      </c>
      <c r="I3" s="4">
        <v>5</v>
      </c>
      <c r="J3" s="4">
        <v>2</v>
      </c>
      <c r="K3" s="4">
        <v>2</v>
      </c>
      <c r="L3" s="4">
        <v>4</v>
      </c>
      <c r="M3" s="4">
        <v>3</v>
      </c>
      <c r="N3" s="4">
        <v>4</v>
      </c>
      <c r="O3" s="4">
        <v>5</v>
      </c>
      <c r="P3" s="4">
        <v>3</v>
      </c>
      <c r="Q3" s="4">
        <v>5</v>
      </c>
      <c r="R3" s="4">
        <v>2</v>
      </c>
      <c r="S3" s="4">
        <v>4</v>
      </c>
      <c r="T3" s="4">
        <v>3</v>
      </c>
      <c r="U3" s="4">
        <v>2</v>
      </c>
      <c r="V3" s="4" t="s">
        <v>33</v>
      </c>
      <c r="W3" s="4" t="s">
        <v>34</v>
      </c>
      <c r="X3" s="4" t="s">
        <v>35</v>
      </c>
      <c r="Y3" s="4" t="s">
        <v>36</v>
      </c>
      <c r="Z3" s="4" t="s">
        <v>37</v>
      </c>
    </row>
    <row r="4" spans="1:26" ht="22.5" customHeight="1" x14ac:dyDescent="0.25">
      <c r="A4" s="2">
        <v>46081.609678043984</v>
      </c>
      <c r="B4" s="4" t="s">
        <v>38</v>
      </c>
      <c r="C4" s="4" t="s">
        <v>27</v>
      </c>
      <c r="D4" s="4" t="s">
        <v>28</v>
      </c>
      <c r="E4" s="4" t="s">
        <v>39</v>
      </c>
      <c r="F4" s="4" t="s">
        <v>40</v>
      </c>
      <c r="G4" s="4" t="s">
        <v>31</v>
      </c>
      <c r="H4" s="4" t="s">
        <v>32</v>
      </c>
      <c r="I4" s="4">
        <v>3</v>
      </c>
      <c r="J4" s="4">
        <v>3</v>
      </c>
      <c r="K4" s="4">
        <v>5</v>
      </c>
      <c r="L4" s="4">
        <v>4</v>
      </c>
      <c r="M4" s="4">
        <v>5</v>
      </c>
      <c r="N4" s="4">
        <v>5</v>
      </c>
      <c r="O4" s="4">
        <v>5</v>
      </c>
      <c r="P4" s="4">
        <v>5</v>
      </c>
      <c r="Q4" s="4">
        <v>5</v>
      </c>
      <c r="R4" s="4">
        <v>1</v>
      </c>
      <c r="S4" s="4">
        <v>5</v>
      </c>
      <c r="T4" s="4">
        <v>5</v>
      </c>
      <c r="U4" s="4">
        <v>5</v>
      </c>
      <c r="V4" s="4" t="s">
        <v>41</v>
      </c>
      <c r="W4" s="4" t="s">
        <v>42</v>
      </c>
      <c r="X4" s="4" t="s">
        <v>43</v>
      </c>
      <c r="Y4" s="4" t="s">
        <v>44</v>
      </c>
      <c r="Z4" s="4" t="s">
        <v>45</v>
      </c>
    </row>
    <row r="5" spans="1:26" ht="22.5" customHeight="1" x14ac:dyDescent="0.25">
      <c r="A5" s="2">
        <v>46082.47977174769</v>
      </c>
      <c r="B5" s="4" t="s">
        <v>26</v>
      </c>
      <c r="C5" s="4" t="s">
        <v>46</v>
      </c>
      <c r="D5" s="4" t="s">
        <v>47</v>
      </c>
      <c r="E5" s="4" t="s">
        <v>29</v>
      </c>
      <c r="F5" s="4" t="s">
        <v>30</v>
      </c>
      <c r="G5" s="4" t="s">
        <v>48</v>
      </c>
      <c r="H5" s="4" t="s">
        <v>32</v>
      </c>
      <c r="I5" s="4">
        <v>1</v>
      </c>
      <c r="J5" s="3"/>
      <c r="K5" s="4">
        <v>2</v>
      </c>
      <c r="L5" s="4">
        <v>1</v>
      </c>
      <c r="M5" s="4">
        <v>3</v>
      </c>
      <c r="N5" s="4">
        <v>2</v>
      </c>
      <c r="O5" s="4">
        <v>5</v>
      </c>
      <c r="P5" s="4">
        <v>4</v>
      </c>
      <c r="Q5" s="4">
        <v>5</v>
      </c>
      <c r="R5" s="4">
        <v>3</v>
      </c>
      <c r="S5" s="4">
        <v>5</v>
      </c>
      <c r="T5" s="4">
        <v>5</v>
      </c>
      <c r="U5" s="4">
        <v>4</v>
      </c>
      <c r="V5" s="4" t="s">
        <v>41</v>
      </c>
      <c r="W5" s="4" t="s">
        <v>42</v>
      </c>
      <c r="X5" s="4" t="s">
        <v>49</v>
      </c>
      <c r="Y5" s="4" t="s">
        <v>44</v>
      </c>
      <c r="Z5" s="4" t="s">
        <v>45</v>
      </c>
    </row>
    <row r="6" spans="1:26" ht="22.5" customHeight="1" x14ac:dyDescent="0.25">
      <c r="A6" s="5">
        <v>46085.532780532405</v>
      </c>
      <c r="B6" s="6" t="s">
        <v>38</v>
      </c>
      <c r="C6" s="6" t="s">
        <v>27</v>
      </c>
      <c r="D6" s="6" t="s">
        <v>50</v>
      </c>
      <c r="E6" s="6" t="s">
        <v>29</v>
      </c>
      <c r="F6" s="6" t="s">
        <v>40</v>
      </c>
      <c r="G6" s="6" t="s">
        <v>48</v>
      </c>
      <c r="H6" s="6" t="s">
        <v>51</v>
      </c>
      <c r="I6" s="6">
        <v>1</v>
      </c>
      <c r="J6" s="6">
        <v>3</v>
      </c>
      <c r="K6" s="6">
        <v>3</v>
      </c>
      <c r="L6" s="6">
        <v>3</v>
      </c>
      <c r="M6" s="6">
        <v>3</v>
      </c>
      <c r="N6" s="6">
        <v>3</v>
      </c>
      <c r="O6" s="6">
        <v>3</v>
      </c>
      <c r="P6" s="6">
        <v>3</v>
      </c>
      <c r="Q6" s="6">
        <v>3</v>
      </c>
      <c r="R6" s="6">
        <v>3</v>
      </c>
      <c r="S6" s="6">
        <v>4</v>
      </c>
      <c r="T6" s="6">
        <v>5</v>
      </c>
      <c r="U6" s="6">
        <v>5</v>
      </c>
      <c r="V6" s="6" t="s">
        <v>33</v>
      </c>
      <c r="W6" s="6" t="s">
        <v>52</v>
      </c>
      <c r="X6" s="6" t="s">
        <v>53</v>
      </c>
      <c r="Y6" s="6" t="s">
        <v>54</v>
      </c>
      <c r="Z6" s="6" t="s">
        <v>45</v>
      </c>
    </row>
    <row r="7" spans="1:26" ht="22.5" customHeight="1" x14ac:dyDescent="0.25">
      <c r="A7" s="5">
        <v>46085.534371863425</v>
      </c>
      <c r="B7" s="6" t="s">
        <v>26</v>
      </c>
      <c r="C7" s="6" t="s">
        <v>27</v>
      </c>
      <c r="D7" s="6" t="s">
        <v>47</v>
      </c>
      <c r="E7" s="6" t="s">
        <v>55</v>
      </c>
      <c r="F7" s="6" t="s">
        <v>56</v>
      </c>
      <c r="G7" s="6" t="s">
        <v>48</v>
      </c>
      <c r="H7" s="6" t="s">
        <v>57</v>
      </c>
      <c r="I7" s="6">
        <v>5</v>
      </c>
      <c r="J7" s="6">
        <v>5</v>
      </c>
      <c r="K7" s="6">
        <v>5</v>
      </c>
      <c r="L7" s="6">
        <v>5</v>
      </c>
      <c r="M7" s="6">
        <v>5</v>
      </c>
      <c r="N7" s="6">
        <v>5</v>
      </c>
      <c r="O7" s="6">
        <v>5</v>
      </c>
      <c r="P7" s="6">
        <v>5</v>
      </c>
      <c r="Q7" s="6">
        <v>5</v>
      </c>
      <c r="R7" s="6">
        <v>1</v>
      </c>
      <c r="S7" s="6">
        <v>5</v>
      </c>
      <c r="T7" s="6">
        <v>5</v>
      </c>
      <c r="U7" s="6">
        <v>5</v>
      </c>
      <c r="V7" s="6" t="s">
        <v>58</v>
      </c>
      <c r="W7" s="6" t="s">
        <v>52</v>
      </c>
      <c r="X7" s="6" t="s">
        <v>59</v>
      </c>
      <c r="Y7" s="6" t="s">
        <v>54</v>
      </c>
      <c r="Z7" s="6" t="s">
        <v>45</v>
      </c>
    </row>
    <row r="8" spans="1:26" ht="22.5" customHeight="1" x14ac:dyDescent="0.25">
      <c r="A8" s="5">
        <v>46085.569640254631</v>
      </c>
      <c r="B8" s="6" t="s">
        <v>60</v>
      </c>
      <c r="C8" s="6" t="s">
        <v>27</v>
      </c>
      <c r="D8" s="6" t="s">
        <v>28</v>
      </c>
      <c r="E8" s="6" t="s">
        <v>61</v>
      </c>
      <c r="F8" s="6" t="s">
        <v>40</v>
      </c>
      <c r="G8" s="6" t="s">
        <v>31</v>
      </c>
      <c r="H8" s="6" t="s">
        <v>57</v>
      </c>
      <c r="I8" s="6">
        <v>4</v>
      </c>
      <c r="J8" s="6">
        <v>4</v>
      </c>
      <c r="K8" s="6">
        <v>5</v>
      </c>
      <c r="L8" s="6">
        <v>5</v>
      </c>
      <c r="M8" s="6">
        <v>5</v>
      </c>
      <c r="N8" s="6">
        <v>5</v>
      </c>
      <c r="O8" s="6">
        <v>5</v>
      </c>
      <c r="P8" s="6">
        <v>5</v>
      </c>
      <c r="Q8" s="6">
        <v>5</v>
      </c>
      <c r="R8" s="6">
        <v>2</v>
      </c>
      <c r="S8" s="6">
        <v>5</v>
      </c>
      <c r="T8" s="6">
        <v>5</v>
      </c>
      <c r="U8" s="6">
        <v>5</v>
      </c>
      <c r="V8" s="6" t="s">
        <v>41</v>
      </c>
      <c r="W8" s="6" t="s">
        <v>42</v>
      </c>
      <c r="X8" s="6" t="s">
        <v>62</v>
      </c>
      <c r="Y8" s="6" t="s">
        <v>63</v>
      </c>
      <c r="Z8" s="6" t="s">
        <v>45</v>
      </c>
    </row>
    <row r="9" spans="1:26" ht="22.5" customHeight="1" x14ac:dyDescent="0.25">
      <c r="A9" s="5">
        <v>46085.570529108794</v>
      </c>
      <c r="B9" s="6" t="s">
        <v>38</v>
      </c>
      <c r="C9" s="6" t="s">
        <v>27</v>
      </c>
      <c r="D9" s="6" t="s">
        <v>28</v>
      </c>
      <c r="E9" s="6" t="s">
        <v>64</v>
      </c>
      <c r="F9" s="6" t="s">
        <v>56</v>
      </c>
      <c r="G9" s="6" t="s">
        <v>31</v>
      </c>
      <c r="H9" s="6" t="s">
        <v>65</v>
      </c>
      <c r="I9" s="6">
        <v>4</v>
      </c>
      <c r="J9" s="6">
        <v>5</v>
      </c>
      <c r="K9" s="6">
        <v>5</v>
      </c>
      <c r="L9" s="6">
        <v>4</v>
      </c>
      <c r="M9" s="6">
        <v>5</v>
      </c>
      <c r="N9" s="6">
        <v>5</v>
      </c>
      <c r="O9" s="6">
        <v>5</v>
      </c>
      <c r="P9" s="6">
        <v>4</v>
      </c>
      <c r="Q9" s="6">
        <v>5</v>
      </c>
      <c r="R9" s="6">
        <v>2</v>
      </c>
      <c r="S9" s="6">
        <v>4</v>
      </c>
      <c r="T9" s="6">
        <v>4</v>
      </c>
      <c r="U9" s="6">
        <v>5</v>
      </c>
      <c r="V9" s="6" t="s">
        <v>41</v>
      </c>
      <c r="W9" s="6" t="s">
        <v>34</v>
      </c>
      <c r="X9" s="6" t="s">
        <v>66</v>
      </c>
      <c r="Y9" s="6" t="s">
        <v>54</v>
      </c>
      <c r="Z9" s="6" t="s">
        <v>45</v>
      </c>
    </row>
    <row r="10" spans="1:26" ht="22.5" customHeight="1" x14ac:dyDescent="0.25">
      <c r="A10" s="5">
        <v>46085.571883530094</v>
      </c>
      <c r="B10" s="6" t="s">
        <v>38</v>
      </c>
      <c r="C10" s="6" t="s">
        <v>27</v>
      </c>
      <c r="D10" s="6" t="s">
        <v>67</v>
      </c>
      <c r="E10" s="6" t="s">
        <v>61</v>
      </c>
      <c r="F10" s="6" t="s">
        <v>56</v>
      </c>
      <c r="G10" s="6" t="s">
        <v>48</v>
      </c>
      <c r="H10" s="6" t="s">
        <v>57</v>
      </c>
      <c r="I10" s="6">
        <v>3</v>
      </c>
      <c r="J10" s="6">
        <v>3</v>
      </c>
      <c r="K10" s="6">
        <v>4</v>
      </c>
      <c r="L10" s="6">
        <v>4</v>
      </c>
      <c r="M10" s="6">
        <v>5</v>
      </c>
      <c r="N10" s="6">
        <v>5</v>
      </c>
      <c r="O10" s="6">
        <v>4</v>
      </c>
      <c r="P10" s="6">
        <v>4</v>
      </c>
      <c r="Q10" s="6">
        <v>5</v>
      </c>
      <c r="R10" s="6">
        <v>4</v>
      </c>
      <c r="S10" s="6">
        <v>5</v>
      </c>
      <c r="T10" s="6">
        <v>4</v>
      </c>
      <c r="U10" s="6">
        <v>4</v>
      </c>
      <c r="V10" s="6" t="s">
        <v>41</v>
      </c>
      <c r="W10" s="6" t="s">
        <v>42</v>
      </c>
      <c r="X10" s="6" t="s">
        <v>68</v>
      </c>
      <c r="Y10" s="6" t="s">
        <v>44</v>
      </c>
      <c r="Z10" s="6" t="s">
        <v>45</v>
      </c>
    </row>
    <row r="11" spans="1:26" ht="22.5" customHeight="1" x14ac:dyDescent="0.25">
      <c r="A11" s="5">
        <v>46086.535248900458</v>
      </c>
      <c r="B11" s="6" t="s">
        <v>69</v>
      </c>
      <c r="C11" s="6" t="s">
        <v>27</v>
      </c>
      <c r="D11" s="6" t="s">
        <v>67</v>
      </c>
      <c r="E11" s="6" t="s">
        <v>70</v>
      </c>
      <c r="F11" s="6" t="s">
        <v>71</v>
      </c>
      <c r="G11" s="6" t="s">
        <v>31</v>
      </c>
      <c r="H11" s="6" t="s">
        <v>72</v>
      </c>
      <c r="I11" s="6">
        <v>3</v>
      </c>
      <c r="J11" s="6">
        <v>4</v>
      </c>
      <c r="K11" s="6">
        <v>4</v>
      </c>
      <c r="L11" s="6">
        <v>4</v>
      </c>
      <c r="M11" s="6">
        <v>5</v>
      </c>
      <c r="N11" s="6">
        <v>4</v>
      </c>
      <c r="O11" s="6">
        <v>5</v>
      </c>
      <c r="P11" s="6">
        <v>5</v>
      </c>
      <c r="Q11" s="6">
        <v>4</v>
      </c>
      <c r="R11" s="6">
        <v>2</v>
      </c>
      <c r="S11" s="6">
        <v>3</v>
      </c>
      <c r="T11" s="6">
        <v>5</v>
      </c>
      <c r="U11" s="6">
        <v>4</v>
      </c>
      <c r="V11" s="6" t="s">
        <v>41</v>
      </c>
      <c r="W11" s="6" t="s">
        <v>34</v>
      </c>
      <c r="X11" s="6" t="s">
        <v>73</v>
      </c>
      <c r="Y11" s="6" t="s">
        <v>74</v>
      </c>
      <c r="Z11" s="6" t="s">
        <v>45</v>
      </c>
    </row>
    <row r="12" spans="1:26" ht="22.5" customHeight="1" x14ac:dyDescent="0.25">
      <c r="A12" s="5">
        <v>46086.551587951384</v>
      </c>
      <c r="B12" s="6" t="s">
        <v>69</v>
      </c>
      <c r="C12" s="6" t="s">
        <v>27</v>
      </c>
      <c r="D12" s="6" t="s">
        <v>47</v>
      </c>
      <c r="E12" s="6" t="s">
        <v>70</v>
      </c>
      <c r="F12" s="6" t="s">
        <v>71</v>
      </c>
      <c r="G12" s="6" t="s">
        <v>31</v>
      </c>
      <c r="H12" s="6" t="s">
        <v>75</v>
      </c>
      <c r="I12" s="6">
        <v>4</v>
      </c>
      <c r="J12" s="6">
        <v>3</v>
      </c>
      <c r="K12" s="6">
        <v>4</v>
      </c>
      <c r="L12" s="6">
        <v>4</v>
      </c>
      <c r="M12" s="6">
        <v>5</v>
      </c>
      <c r="N12" s="6">
        <v>4</v>
      </c>
      <c r="O12" s="6">
        <v>4</v>
      </c>
      <c r="P12" s="6">
        <v>5</v>
      </c>
      <c r="Q12" s="6">
        <v>5</v>
      </c>
      <c r="R12" s="6">
        <v>2</v>
      </c>
      <c r="S12" s="6">
        <v>4</v>
      </c>
      <c r="T12" s="6">
        <v>4</v>
      </c>
      <c r="U12" s="6">
        <v>4</v>
      </c>
      <c r="V12" s="6" t="s">
        <v>41</v>
      </c>
      <c r="W12" s="6" t="s">
        <v>42</v>
      </c>
      <c r="X12" s="6" t="s">
        <v>49</v>
      </c>
      <c r="Y12" s="6" t="s">
        <v>74</v>
      </c>
      <c r="Z12" s="6" t="s">
        <v>45</v>
      </c>
    </row>
    <row r="13" spans="1:26" ht="22.5" customHeight="1" x14ac:dyDescent="0.25">
      <c r="A13" s="5">
        <v>46086.575742824076</v>
      </c>
      <c r="B13" s="6" t="s">
        <v>38</v>
      </c>
      <c r="C13" s="6" t="s">
        <v>46</v>
      </c>
      <c r="D13" s="6" t="s">
        <v>28</v>
      </c>
      <c r="E13" s="6" t="s">
        <v>29</v>
      </c>
      <c r="F13" s="6" t="s">
        <v>40</v>
      </c>
      <c r="G13" s="6" t="s">
        <v>48</v>
      </c>
      <c r="H13" s="6" t="s">
        <v>76</v>
      </c>
      <c r="I13" s="6">
        <v>3</v>
      </c>
      <c r="J13" s="6">
        <v>3</v>
      </c>
      <c r="K13" s="6">
        <v>2</v>
      </c>
      <c r="L13" s="6">
        <v>2</v>
      </c>
      <c r="M13" s="6">
        <v>1</v>
      </c>
      <c r="N13" s="6">
        <v>3</v>
      </c>
      <c r="O13" s="6">
        <v>4</v>
      </c>
      <c r="P13" s="6">
        <v>2</v>
      </c>
      <c r="Q13" s="6">
        <v>4</v>
      </c>
      <c r="R13" s="6">
        <v>1</v>
      </c>
      <c r="S13" s="6">
        <v>1</v>
      </c>
      <c r="T13" s="6">
        <v>1</v>
      </c>
      <c r="U13" s="6">
        <v>2</v>
      </c>
      <c r="V13" s="6" t="s">
        <v>41</v>
      </c>
      <c r="W13" s="6" t="s">
        <v>52</v>
      </c>
      <c r="X13" s="6" t="s">
        <v>68</v>
      </c>
      <c r="Y13" s="6" t="s">
        <v>74</v>
      </c>
      <c r="Z13" s="6" t="s">
        <v>45</v>
      </c>
    </row>
    <row r="14" spans="1:26" ht="22.5" customHeight="1" x14ac:dyDescent="0.25">
      <c r="A14" s="5">
        <v>46086.581596678239</v>
      </c>
      <c r="B14" s="6" t="s">
        <v>38</v>
      </c>
      <c r="C14" s="6" t="s">
        <v>46</v>
      </c>
      <c r="D14" s="6" t="s">
        <v>67</v>
      </c>
      <c r="E14" s="6" t="s">
        <v>55</v>
      </c>
      <c r="F14" s="6" t="s">
        <v>56</v>
      </c>
      <c r="G14" s="6" t="s">
        <v>31</v>
      </c>
      <c r="H14" s="6" t="s">
        <v>32</v>
      </c>
      <c r="I14" s="6">
        <v>3</v>
      </c>
      <c r="K14" s="6">
        <v>3</v>
      </c>
      <c r="L14" s="6">
        <v>1</v>
      </c>
      <c r="M14" s="6">
        <v>2</v>
      </c>
      <c r="N14" s="6">
        <v>4</v>
      </c>
      <c r="O14" s="6">
        <v>4</v>
      </c>
      <c r="P14" s="6">
        <v>1</v>
      </c>
      <c r="Q14" s="6">
        <v>1</v>
      </c>
      <c r="R14" s="6">
        <v>3</v>
      </c>
      <c r="S14" s="6">
        <v>2</v>
      </c>
      <c r="T14" s="6">
        <v>5</v>
      </c>
      <c r="U14" s="6">
        <v>5</v>
      </c>
      <c r="V14" s="6" t="s">
        <v>41</v>
      </c>
      <c r="W14" s="6" t="s">
        <v>34</v>
      </c>
      <c r="X14" s="6" t="s">
        <v>68</v>
      </c>
      <c r="Y14" s="6" t="s">
        <v>36</v>
      </c>
      <c r="Z14" s="6" t="s">
        <v>45</v>
      </c>
    </row>
    <row r="15" spans="1:26" ht="22.5" customHeight="1" x14ac:dyDescent="0.25">
      <c r="A15" s="5">
        <v>46087.563305833333</v>
      </c>
      <c r="B15" s="6" t="s">
        <v>38</v>
      </c>
      <c r="C15" s="6" t="s">
        <v>46</v>
      </c>
      <c r="D15" s="6" t="s">
        <v>50</v>
      </c>
      <c r="E15" s="6" t="s">
        <v>77</v>
      </c>
      <c r="F15" s="6" t="s">
        <v>56</v>
      </c>
      <c r="G15" s="6" t="s">
        <v>31</v>
      </c>
      <c r="H15" s="6" t="s">
        <v>78</v>
      </c>
      <c r="I15" s="6">
        <v>4</v>
      </c>
      <c r="J15" s="6">
        <v>4</v>
      </c>
      <c r="K15" s="6">
        <v>3</v>
      </c>
      <c r="L15" s="6">
        <v>3</v>
      </c>
      <c r="M15" s="6">
        <v>5</v>
      </c>
      <c r="N15" s="6">
        <v>4</v>
      </c>
      <c r="O15" s="6">
        <v>5</v>
      </c>
      <c r="P15" s="6">
        <v>4</v>
      </c>
      <c r="Q15" s="6">
        <v>4</v>
      </c>
      <c r="R15" s="6">
        <v>2</v>
      </c>
      <c r="S15" s="6">
        <v>3</v>
      </c>
      <c r="T15" s="6">
        <v>5</v>
      </c>
      <c r="U15" s="6">
        <v>5</v>
      </c>
      <c r="V15" s="6" t="s">
        <v>41</v>
      </c>
      <c r="W15" s="6" t="s">
        <v>34</v>
      </c>
      <c r="X15" s="6" t="s">
        <v>62</v>
      </c>
      <c r="Y15" s="6" t="s">
        <v>44</v>
      </c>
      <c r="Z15" s="6" t="s">
        <v>45</v>
      </c>
    </row>
    <row r="16" spans="1:26" ht="22.5" customHeight="1" x14ac:dyDescent="0.25">
      <c r="A16" s="5">
        <v>46091.470615185186</v>
      </c>
      <c r="B16" s="6" t="s">
        <v>38</v>
      </c>
      <c r="C16" s="6" t="s">
        <v>27</v>
      </c>
      <c r="D16" s="6" t="s">
        <v>28</v>
      </c>
      <c r="E16" s="6" t="s">
        <v>70</v>
      </c>
      <c r="F16" s="6" t="s">
        <v>79</v>
      </c>
      <c r="G16" s="6" t="s">
        <v>31</v>
      </c>
      <c r="H16" s="6" t="s">
        <v>32</v>
      </c>
      <c r="I16" s="6">
        <v>3</v>
      </c>
      <c r="J16" s="6">
        <v>3</v>
      </c>
      <c r="K16" s="6">
        <v>4</v>
      </c>
      <c r="L16" s="6">
        <v>2</v>
      </c>
      <c r="M16" s="6">
        <v>5</v>
      </c>
      <c r="N16" s="6">
        <v>3</v>
      </c>
      <c r="O16" s="6">
        <v>5</v>
      </c>
      <c r="P16" s="6">
        <v>4</v>
      </c>
      <c r="Q16" s="6">
        <v>5</v>
      </c>
      <c r="R16" s="6">
        <v>4</v>
      </c>
      <c r="S16" s="6">
        <v>3</v>
      </c>
      <c r="T16" s="6">
        <v>4</v>
      </c>
      <c r="U16" s="6">
        <v>4</v>
      </c>
      <c r="V16" s="6" t="s">
        <v>41</v>
      </c>
      <c r="W16" s="6" t="s">
        <v>34</v>
      </c>
      <c r="X16" s="6" t="s">
        <v>80</v>
      </c>
      <c r="Y16" s="6" t="s">
        <v>54</v>
      </c>
      <c r="Z16" s="6" t="s">
        <v>45</v>
      </c>
    </row>
    <row r="17" spans="1:26" ht="22.5" customHeight="1" x14ac:dyDescent="0.25">
      <c r="A17" s="5">
        <v>46091.496135150461</v>
      </c>
      <c r="B17" s="6" t="s">
        <v>60</v>
      </c>
      <c r="C17" s="6" t="s">
        <v>46</v>
      </c>
      <c r="D17" s="6" t="s">
        <v>28</v>
      </c>
      <c r="E17" s="6" t="s">
        <v>70</v>
      </c>
      <c r="F17" s="6" t="s">
        <v>79</v>
      </c>
      <c r="G17" s="6" t="s">
        <v>31</v>
      </c>
      <c r="H17" s="6" t="s">
        <v>32</v>
      </c>
      <c r="I17" s="6">
        <v>5</v>
      </c>
      <c r="K17" s="6">
        <v>5</v>
      </c>
      <c r="L17" s="6">
        <v>5</v>
      </c>
      <c r="M17" s="6">
        <v>5</v>
      </c>
      <c r="N17" s="6">
        <v>5</v>
      </c>
      <c r="O17" s="6">
        <v>5</v>
      </c>
      <c r="P17" s="6">
        <v>5</v>
      </c>
      <c r="Q17" s="6">
        <v>5</v>
      </c>
      <c r="R17" s="6">
        <v>2</v>
      </c>
      <c r="S17" s="6">
        <v>1</v>
      </c>
      <c r="T17" s="6">
        <v>5</v>
      </c>
      <c r="U17" s="6">
        <v>3</v>
      </c>
      <c r="V17" s="6" t="s">
        <v>41</v>
      </c>
      <c r="W17" s="6" t="s">
        <v>42</v>
      </c>
      <c r="X17" s="6" t="s">
        <v>81</v>
      </c>
      <c r="Y17" s="6" t="s">
        <v>36</v>
      </c>
      <c r="Z17" s="6" t="s">
        <v>45</v>
      </c>
    </row>
    <row r="18" spans="1:26" ht="22.5" customHeight="1" x14ac:dyDescent="0.25">
      <c r="A18" s="5">
        <v>46094.589250543984</v>
      </c>
      <c r="B18" s="6" t="s">
        <v>82</v>
      </c>
      <c r="C18" s="6" t="s">
        <v>27</v>
      </c>
      <c r="D18" s="6" t="s">
        <v>67</v>
      </c>
      <c r="E18" s="6" t="s">
        <v>64</v>
      </c>
      <c r="F18" s="6" t="s">
        <v>40</v>
      </c>
      <c r="G18" s="6" t="s">
        <v>83</v>
      </c>
      <c r="H18" s="6" t="s">
        <v>84</v>
      </c>
      <c r="I18" s="6">
        <v>2</v>
      </c>
      <c r="J18" s="6">
        <v>4</v>
      </c>
      <c r="K18" s="6">
        <v>5</v>
      </c>
      <c r="L18" s="6">
        <v>4</v>
      </c>
      <c r="M18" s="6">
        <v>5</v>
      </c>
      <c r="N18" s="6">
        <v>5</v>
      </c>
      <c r="O18" s="6">
        <v>3</v>
      </c>
      <c r="P18" s="6">
        <v>5</v>
      </c>
      <c r="Q18" s="6">
        <v>5</v>
      </c>
      <c r="R18" s="6">
        <v>3</v>
      </c>
      <c r="S18" s="6">
        <v>5</v>
      </c>
      <c r="T18" s="6">
        <v>4</v>
      </c>
      <c r="U18" s="6">
        <v>4</v>
      </c>
      <c r="V18" s="6" t="s">
        <v>33</v>
      </c>
      <c r="W18" s="6" t="s">
        <v>52</v>
      </c>
      <c r="X18" s="6" t="s">
        <v>68</v>
      </c>
      <c r="Y18" s="6" t="s">
        <v>74</v>
      </c>
      <c r="Z18" s="6" t="s">
        <v>45</v>
      </c>
    </row>
    <row r="19" spans="1:26" ht="22.5" customHeight="1" x14ac:dyDescent="0.25">
      <c r="A19" s="5">
        <v>46094.596906666666</v>
      </c>
      <c r="B19" s="6" t="s">
        <v>82</v>
      </c>
      <c r="C19" s="6" t="s">
        <v>27</v>
      </c>
      <c r="D19" s="6" t="s">
        <v>50</v>
      </c>
      <c r="E19" s="6" t="s">
        <v>64</v>
      </c>
      <c r="F19" s="6" t="s">
        <v>40</v>
      </c>
      <c r="G19" s="6" t="s">
        <v>85</v>
      </c>
      <c r="H19" s="6" t="s">
        <v>86</v>
      </c>
      <c r="I19" s="6">
        <v>5</v>
      </c>
      <c r="J19" s="6">
        <v>5</v>
      </c>
      <c r="K19" s="6">
        <v>5</v>
      </c>
      <c r="L19" s="6">
        <v>5</v>
      </c>
      <c r="M19" s="6">
        <v>5</v>
      </c>
      <c r="N19" s="6">
        <v>5</v>
      </c>
      <c r="O19" s="6">
        <v>5</v>
      </c>
      <c r="P19" s="6">
        <v>5</v>
      </c>
      <c r="Q19" s="6">
        <v>5</v>
      </c>
      <c r="R19" s="6">
        <v>1</v>
      </c>
      <c r="S19" s="6">
        <v>5</v>
      </c>
      <c r="T19" s="6">
        <v>5</v>
      </c>
      <c r="U19" s="6">
        <v>5</v>
      </c>
      <c r="V19" s="6" t="s">
        <v>58</v>
      </c>
      <c r="W19" s="6" t="s">
        <v>42</v>
      </c>
      <c r="X19" s="6" t="s">
        <v>73</v>
      </c>
      <c r="Y19" s="6" t="s">
        <v>54</v>
      </c>
      <c r="Z19" s="6" t="s">
        <v>45</v>
      </c>
    </row>
    <row r="20" spans="1:26" ht="22.5" customHeight="1" x14ac:dyDescent="0.25">
      <c r="A20" s="5">
        <v>46094.597525104167</v>
      </c>
      <c r="B20" s="6" t="s">
        <v>82</v>
      </c>
      <c r="C20" s="6" t="s">
        <v>27</v>
      </c>
      <c r="D20" s="6" t="s">
        <v>50</v>
      </c>
      <c r="E20" s="6" t="s">
        <v>64</v>
      </c>
      <c r="F20" s="6" t="s">
        <v>40</v>
      </c>
      <c r="G20" s="6" t="s">
        <v>85</v>
      </c>
      <c r="H20" s="6" t="s">
        <v>86</v>
      </c>
      <c r="I20" s="6">
        <v>5</v>
      </c>
      <c r="J20" s="6">
        <v>5</v>
      </c>
      <c r="K20" s="6">
        <v>5</v>
      </c>
      <c r="L20" s="6">
        <v>5</v>
      </c>
      <c r="M20" s="6">
        <v>5</v>
      </c>
      <c r="N20" s="6">
        <v>5</v>
      </c>
      <c r="O20" s="6">
        <v>5</v>
      </c>
      <c r="P20" s="6">
        <v>5</v>
      </c>
      <c r="Q20" s="6">
        <v>5</v>
      </c>
      <c r="R20" s="6">
        <v>1</v>
      </c>
      <c r="S20" s="6">
        <v>5</v>
      </c>
      <c r="T20" s="6">
        <v>5</v>
      </c>
      <c r="U20" s="6">
        <v>5</v>
      </c>
      <c r="V20" s="6" t="s">
        <v>58</v>
      </c>
      <c r="W20" s="6" t="s">
        <v>42</v>
      </c>
      <c r="X20" s="6" t="s">
        <v>73</v>
      </c>
      <c r="Y20" s="6" t="s">
        <v>54</v>
      </c>
      <c r="Z20" s="6" t="s">
        <v>45</v>
      </c>
    </row>
    <row r="21" spans="1:26" ht="22.5" customHeight="1" x14ac:dyDescent="0.25">
      <c r="A21" s="5">
        <v>46122.509303333332</v>
      </c>
      <c r="B21" s="6" t="s">
        <v>26</v>
      </c>
      <c r="C21" s="6" t="s">
        <v>27</v>
      </c>
      <c r="D21" s="6" t="s">
        <v>47</v>
      </c>
      <c r="E21" s="6" t="s">
        <v>87</v>
      </c>
      <c r="F21" s="6" t="s">
        <v>40</v>
      </c>
      <c r="G21" s="6" t="s">
        <v>31</v>
      </c>
      <c r="H21" s="6" t="s">
        <v>84</v>
      </c>
      <c r="I21" s="6">
        <v>5</v>
      </c>
      <c r="J21" s="6">
        <v>5</v>
      </c>
      <c r="K21" s="6">
        <v>5</v>
      </c>
      <c r="L21" s="6">
        <v>5</v>
      </c>
      <c r="M21" s="6">
        <v>5</v>
      </c>
      <c r="N21" s="6">
        <v>5</v>
      </c>
      <c r="O21" s="6">
        <v>5</v>
      </c>
      <c r="P21" s="6">
        <v>5</v>
      </c>
      <c r="Q21" s="6">
        <v>5</v>
      </c>
      <c r="R21" s="6">
        <v>1</v>
      </c>
      <c r="S21" s="6">
        <v>4</v>
      </c>
      <c r="T21" s="6">
        <v>5</v>
      </c>
      <c r="U21" s="6">
        <v>5</v>
      </c>
      <c r="V21" s="6" t="s">
        <v>41</v>
      </c>
      <c r="W21" s="6" t="s">
        <v>34</v>
      </c>
      <c r="X21" s="6" t="s">
        <v>88</v>
      </c>
      <c r="Y21" s="6" t="s">
        <v>44</v>
      </c>
      <c r="Z21" s="6" t="s">
        <v>45</v>
      </c>
    </row>
    <row r="22" spans="1:26" ht="22.5" customHeight="1" x14ac:dyDescent="0.25">
      <c r="A22" s="5">
        <v>46132.527618958338</v>
      </c>
      <c r="B22" s="6" t="s">
        <v>69</v>
      </c>
      <c r="C22" s="6" t="s">
        <v>46</v>
      </c>
      <c r="D22" s="6" t="s">
        <v>67</v>
      </c>
      <c r="E22" s="6" t="s">
        <v>39</v>
      </c>
      <c r="F22" s="6" t="s">
        <v>40</v>
      </c>
      <c r="G22" s="6" t="s">
        <v>31</v>
      </c>
      <c r="H22" s="6" t="s">
        <v>32</v>
      </c>
      <c r="I22" s="6">
        <v>5</v>
      </c>
      <c r="J22" s="6">
        <v>5</v>
      </c>
      <c r="K22" s="6">
        <v>2</v>
      </c>
      <c r="L22" s="6">
        <v>1</v>
      </c>
      <c r="M22" s="6">
        <v>4</v>
      </c>
      <c r="N22" s="6">
        <v>4</v>
      </c>
      <c r="O22" s="6">
        <v>3</v>
      </c>
      <c r="P22" s="6">
        <v>3</v>
      </c>
      <c r="Q22" s="6">
        <v>4</v>
      </c>
      <c r="R22" s="6">
        <v>4</v>
      </c>
      <c r="S22" s="6">
        <v>2</v>
      </c>
      <c r="T22" s="6">
        <v>4</v>
      </c>
      <c r="U22" s="6">
        <v>4</v>
      </c>
      <c r="V22" s="6" t="s">
        <v>41</v>
      </c>
      <c r="W22" s="6" t="s">
        <v>42</v>
      </c>
      <c r="X22" s="6" t="s">
        <v>62</v>
      </c>
      <c r="Y22" s="6" t="s">
        <v>74</v>
      </c>
      <c r="Z22" s="6" t="s">
        <v>45</v>
      </c>
    </row>
    <row r="23" spans="1:26" ht="22.5" customHeight="1" x14ac:dyDescent="0.25">
      <c r="A23" s="5">
        <v>46132.531756111115</v>
      </c>
      <c r="B23" s="6" t="s">
        <v>69</v>
      </c>
      <c r="C23" s="6" t="s">
        <v>27</v>
      </c>
      <c r="D23" s="6" t="s">
        <v>47</v>
      </c>
      <c r="E23" s="6" t="s">
        <v>64</v>
      </c>
      <c r="F23" s="6" t="s">
        <v>89</v>
      </c>
      <c r="G23" s="6" t="s">
        <v>31</v>
      </c>
      <c r="H23" s="6" t="s">
        <v>84</v>
      </c>
      <c r="I23" s="6">
        <v>3</v>
      </c>
      <c r="K23" s="6">
        <v>3</v>
      </c>
      <c r="L23" s="6">
        <v>3</v>
      </c>
      <c r="M23" s="6">
        <v>3</v>
      </c>
      <c r="N23" s="6">
        <v>3</v>
      </c>
      <c r="O23" s="6">
        <v>4</v>
      </c>
      <c r="P23" s="6">
        <v>3</v>
      </c>
      <c r="Q23" s="6">
        <v>3</v>
      </c>
      <c r="R23" s="6">
        <v>4</v>
      </c>
      <c r="S23" s="6">
        <v>3</v>
      </c>
      <c r="T23" s="6">
        <v>4</v>
      </c>
      <c r="U23" s="6">
        <v>4</v>
      </c>
      <c r="V23" s="6" t="s">
        <v>41</v>
      </c>
      <c r="W23" s="6" t="s">
        <v>34</v>
      </c>
      <c r="X23" s="6" t="s">
        <v>88</v>
      </c>
      <c r="Y23" s="6" t="s">
        <v>54</v>
      </c>
      <c r="Z23" s="6" t="s">
        <v>45</v>
      </c>
    </row>
    <row r="24" spans="1:26" ht="22.5" customHeight="1" x14ac:dyDescent="0.25">
      <c r="A24" s="5">
        <v>46132.590530648144</v>
      </c>
      <c r="B24" s="6" t="s">
        <v>26</v>
      </c>
      <c r="C24" s="6" t="s">
        <v>27</v>
      </c>
      <c r="D24" s="6" t="s">
        <v>28</v>
      </c>
      <c r="E24" s="6" t="s">
        <v>64</v>
      </c>
      <c r="F24" s="6" t="s">
        <v>71</v>
      </c>
      <c r="G24" s="6" t="s">
        <v>48</v>
      </c>
      <c r="H24" s="6" t="s">
        <v>65</v>
      </c>
      <c r="I24" s="6">
        <v>5</v>
      </c>
      <c r="J24" s="6">
        <v>5</v>
      </c>
      <c r="K24" s="6">
        <v>5</v>
      </c>
      <c r="L24" s="6">
        <v>4</v>
      </c>
      <c r="M24" s="6">
        <v>3</v>
      </c>
      <c r="N24" s="6">
        <v>4</v>
      </c>
      <c r="O24" s="6">
        <v>4</v>
      </c>
      <c r="P24" s="6">
        <v>3</v>
      </c>
      <c r="Q24" s="6">
        <v>4</v>
      </c>
      <c r="R24" s="6">
        <v>3</v>
      </c>
      <c r="S24" s="6">
        <v>3</v>
      </c>
      <c r="T24" s="6">
        <v>4</v>
      </c>
      <c r="U24" s="6">
        <v>4</v>
      </c>
      <c r="V24" s="6" t="s">
        <v>41</v>
      </c>
      <c r="W24" s="6" t="s">
        <v>90</v>
      </c>
      <c r="X24" s="6" t="s">
        <v>73</v>
      </c>
      <c r="Y24" s="6" t="s">
        <v>36</v>
      </c>
      <c r="Z24" s="6" t="s">
        <v>45</v>
      </c>
    </row>
    <row r="25" spans="1:26" ht="22.5" customHeight="1" x14ac:dyDescent="0.25">
      <c r="A25" s="5">
        <v>46132.596851666662</v>
      </c>
      <c r="B25" s="6" t="s">
        <v>69</v>
      </c>
      <c r="C25" s="6" t="s">
        <v>27</v>
      </c>
      <c r="D25" s="6" t="s">
        <v>67</v>
      </c>
      <c r="E25" s="6" t="s">
        <v>70</v>
      </c>
      <c r="F25" s="6" t="s">
        <v>71</v>
      </c>
      <c r="G25" s="6" t="s">
        <v>31</v>
      </c>
      <c r="H25" s="6" t="s">
        <v>32</v>
      </c>
      <c r="I25" s="6">
        <v>4</v>
      </c>
      <c r="J25" s="6">
        <v>4</v>
      </c>
      <c r="K25" s="6">
        <v>5</v>
      </c>
      <c r="L25" s="6">
        <v>1</v>
      </c>
      <c r="M25" s="6">
        <v>1</v>
      </c>
      <c r="N25" s="6">
        <v>1</v>
      </c>
      <c r="O25" s="6">
        <v>5</v>
      </c>
      <c r="P25" s="6">
        <v>3</v>
      </c>
      <c r="Q25" s="6">
        <v>4</v>
      </c>
      <c r="R25" s="6">
        <v>3</v>
      </c>
      <c r="S25" s="6">
        <v>3</v>
      </c>
      <c r="T25" s="6">
        <v>5</v>
      </c>
      <c r="U25" s="6">
        <v>5</v>
      </c>
      <c r="V25" s="6" t="s">
        <v>41</v>
      </c>
      <c r="W25" s="6" t="s">
        <v>34</v>
      </c>
      <c r="X25" s="6" t="s">
        <v>68</v>
      </c>
      <c r="Y25" s="6" t="s">
        <v>74</v>
      </c>
      <c r="Z25" s="6" t="s">
        <v>45</v>
      </c>
    </row>
    <row r="26" spans="1:26" ht="22.5" customHeight="1" x14ac:dyDescent="0.25">
      <c r="A26" s="5">
        <v>46132.597928888892</v>
      </c>
      <c r="B26" s="6" t="s">
        <v>69</v>
      </c>
      <c r="C26" s="6" t="s">
        <v>46</v>
      </c>
      <c r="D26" s="6" t="s">
        <v>50</v>
      </c>
      <c r="E26" s="6" t="s">
        <v>70</v>
      </c>
      <c r="F26" s="6" t="s">
        <v>71</v>
      </c>
      <c r="G26" s="6" t="s">
        <v>31</v>
      </c>
      <c r="H26" s="6" t="s">
        <v>91</v>
      </c>
      <c r="I26" s="6">
        <v>3</v>
      </c>
      <c r="J26" s="6">
        <v>4</v>
      </c>
      <c r="K26" s="6">
        <v>4</v>
      </c>
      <c r="L26" s="6">
        <v>2</v>
      </c>
      <c r="M26" s="6">
        <v>3</v>
      </c>
      <c r="N26" s="6">
        <v>3</v>
      </c>
      <c r="O26" s="6">
        <v>5</v>
      </c>
      <c r="P26" s="6">
        <v>4</v>
      </c>
      <c r="Q26" s="6">
        <v>5</v>
      </c>
      <c r="R26" s="6">
        <v>1</v>
      </c>
      <c r="S26" s="6">
        <v>5</v>
      </c>
      <c r="T26" s="6">
        <v>2</v>
      </c>
      <c r="U26" s="6">
        <v>4</v>
      </c>
      <c r="V26" s="6" t="s">
        <v>41</v>
      </c>
      <c r="W26" s="6" t="s">
        <v>34</v>
      </c>
      <c r="X26" s="6" t="s">
        <v>68</v>
      </c>
      <c r="Y26" s="6" t="s">
        <v>74</v>
      </c>
      <c r="Z26" s="6" t="s">
        <v>45</v>
      </c>
    </row>
    <row r="27" spans="1:26" ht="22.5" customHeight="1" x14ac:dyDescent="0.25">
      <c r="A27" s="5">
        <v>46132.598859062498</v>
      </c>
      <c r="B27" s="6" t="s">
        <v>26</v>
      </c>
      <c r="C27" s="6" t="s">
        <v>27</v>
      </c>
      <c r="D27" s="6" t="s">
        <v>47</v>
      </c>
      <c r="E27" s="6" t="s">
        <v>70</v>
      </c>
      <c r="F27" s="6" t="s">
        <v>92</v>
      </c>
      <c r="G27" s="6" t="s">
        <v>31</v>
      </c>
      <c r="H27" s="6" t="s">
        <v>32</v>
      </c>
      <c r="I27" s="6">
        <v>2</v>
      </c>
      <c r="K27" s="6">
        <v>4</v>
      </c>
      <c r="L27" s="6">
        <v>4</v>
      </c>
      <c r="M27" s="6">
        <v>5</v>
      </c>
      <c r="N27" s="6">
        <v>5</v>
      </c>
      <c r="O27" s="6">
        <v>3</v>
      </c>
      <c r="P27" s="6">
        <v>4</v>
      </c>
      <c r="Q27" s="6">
        <v>5</v>
      </c>
      <c r="R27" s="6">
        <v>2</v>
      </c>
      <c r="S27" s="6">
        <v>3</v>
      </c>
      <c r="T27" s="6">
        <v>1</v>
      </c>
      <c r="U27" s="6">
        <v>2</v>
      </c>
      <c r="V27" s="6" t="s">
        <v>41</v>
      </c>
      <c r="W27" s="6" t="s">
        <v>52</v>
      </c>
      <c r="X27" s="6" t="s">
        <v>49</v>
      </c>
      <c r="Y27" s="6" t="s">
        <v>44</v>
      </c>
      <c r="Z27" s="6" t="s">
        <v>45</v>
      </c>
    </row>
    <row r="28" spans="1:26" ht="22.5" customHeight="1" x14ac:dyDescent="0.25">
      <c r="A28" s="5">
        <v>46132.604563877314</v>
      </c>
      <c r="B28" s="6" t="s">
        <v>38</v>
      </c>
      <c r="C28" s="6" t="s">
        <v>27</v>
      </c>
      <c r="D28" s="6" t="s">
        <v>50</v>
      </c>
      <c r="E28" s="6" t="s">
        <v>70</v>
      </c>
      <c r="F28" s="6" t="s">
        <v>71</v>
      </c>
      <c r="G28" s="6" t="s">
        <v>48</v>
      </c>
      <c r="H28" s="6" t="s">
        <v>57</v>
      </c>
      <c r="I28" s="6">
        <v>3</v>
      </c>
      <c r="J28" s="6">
        <v>3</v>
      </c>
      <c r="K28" s="6">
        <v>5</v>
      </c>
      <c r="L28" s="6">
        <v>4</v>
      </c>
      <c r="M28" s="6">
        <v>5</v>
      </c>
      <c r="N28" s="6">
        <v>4</v>
      </c>
      <c r="O28" s="6">
        <v>4</v>
      </c>
      <c r="P28" s="6">
        <v>5</v>
      </c>
      <c r="Q28" s="6">
        <v>5</v>
      </c>
      <c r="R28" s="6">
        <v>3</v>
      </c>
      <c r="S28" s="6">
        <v>4</v>
      </c>
      <c r="T28" s="6">
        <v>4</v>
      </c>
      <c r="U28" s="6">
        <v>4</v>
      </c>
      <c r="V28" s="6" t="s">
        <v>41</v>
      </c>
      <c r="W28" s="6" t="s">
        <v>34</v>
      </c>
      <c r="X28" s="6" t="s">
        <v>93</v>
      </c>
      <c r="Y28" s="6" t="s">
        <v>44</v>
      </c>
      <c r="Z28" s="6" t="s">
        <v>45</v>
      </c>
    </row>
    <row r="29" spans="1:26" ht="22.5" customHeight="1" x14ac:dyDescent="0.25">
      <c r="A29" s="5">
        <v>46132.610658206017</v>
      </c>
      <c r="B29" s="6" t="s">
        <v>69</v>
      </c>
      <c r="C29" s="6" t="s">
        <v>46</v>
      </c>
      <c r="D29" s="6" t="s">
        <v>67</v>
      </c>
      <c r="E29" s="6" t="s">
        <v>70</v>
      </c>
      <c r="F29" s="6" t="s">
        <v>71</v>
      </c>
      <c r="G29" s="6" t="s">
        <v>31</v>
      </c>
      <c r="H29" s="6" t="s">
        <v>94</v>
      </c>
      <c r="I29" s="6">
        <v>3</v>
      </c>
      <c r="J29" s="6">
        <v>3</v>
      </c>
      <c r="K29" s="6">
        <v>5</v>
      </c>
      <c r="L29" s="6">
        <v>4</v>
      </c>
      <c r="M29" s="6">
        <v>5</v>
      </c>
      <c r="N29" s="6">
        <v>2</v>
      </c>
      <c r="O29" s="6">
        <v>5</v>
      </c>
      <c r="P29" s="6">
        <v>5</v>
      </c>
      <c r="Q29" s="6">
        <v>5</v>
      </c>
      <c r="R29" s="6">
        <v>3</v>
      </c>
      <c r="S29" s="6">
        <v>5</v>
      </c>
      <c r="T29" s="6">
        <v>5</v>
      </c>
      <c r="U29" s="6">
        <v>5</v>
      </c>
      <c r="V29" s="6" t="s">
        <v>41</v>
      </c>
      <c r="W29" s="6" t="s">
        <v>34</v>
      </c>
      <c r="X29" s="6" t="s">
        <v>95</v>
      </c>
      <c r="Y29" s="6" t="s">
        <v>74</v>
      </c>
      <c r="Z29" s="6" t="s">
        <v>45</v>
      </c>
    </row>
    <row r="30" spans="1:26" ht="22.5" customHeight="1" x14ac:dyDescent="0.25">
      <c r="A30" s="5">
        <v>46132.616535983798</v>
      </c>
      <c r="B30" s="6" t="s">
        <v>38</v>
      </c>
      <c r="C30" s="6" t="s">
        <v>96</v>
      </c>
      <c r="D30" s="6" t="s">
        <v>47</v>
      </c>
      <c r="E30" s="6" t="s">
        <v>70</v>
      </c>
      <c r="F30" s="6" t="s">
        <v>71</v>
      </c>
      <c r="G30" s="6" t="s">
        <v>31</v>
      </c>
      <c r="H30" s="6" t="s">
        <v>32</v>
      </c>
      <c r="I30" s="6">
        <v>1</v>
      </c>
      <c r="J30" s="6">
        <v>1</v>
      </c>
      <c r="K30" s="6">
        <v>5</v>
      </c>
      <c r="L30" s="6">
        <v>2</v>
      </c>
      <c r="M30" s="6">
        <v>4</v>
      </c>
      <c r="N30" s="6">
        <v>3</v>
      </c>
      <c r="O30" s="6">
        <v>4</v>
      </c>
      <c r="P30" s="6">
        <v>4</v>
      </c>
      <c r="Q30" s="6">
        <v>3</v>
      </c>
      <c r="R30" s="6">
        <v>3</v>
      </c>
      <c r="S30" s="6">
        <v>2</v>
      </c>
      <c r="T30" s="6">
        <v>3</v>
      </c>
      <c r="U30" s="6">
        <v>3</v>
      </c>
      <c r="V30" s="6" t="s">
        <v>41</v>
      </c>
      <c r="W30" s="6" t="s">
        <v>34</v>
      </c>
      <c r="X30" s="6" t="s">
        <v>97</v>
      </c>
      <c r="Y30" s="6" t="s">
        <v>74</v>
      </c>
      <c r="Z30" s="6" t="s">
        <v>45</v>
      </c>
    </row>
    <row r="31" spans="1:26" ht="22.5" customHeight="1" x14ac:dyDescent="0.25">
      <c r="A31" s="5">
        <v>46132.634856400458</v>
      </c>
      <c r="B31" s="6" t="s">
        <v>26</v>
      </c>
      <c r="C31" s="6" t="s">
        <v>27</v>
      </c>
      <c r="D31" s="6" t="s">
        <v>47</v>
      </c>
      <c r="E31" s="6" t="s">
        <v>70</v>
      </c>
      <c r="F31" s="6" t="s">
        <v>89</v>
      </c>
      <c r="G31" s="6" t="s">
        <v>31</v>
      </c>
      <c r="H31" s="6" t="s">
        <v>91</v>
      </c>
      <c r="I31" s="6">
        <v>4</v>
      </c>
      <c r="J31" s="6">
        <v>5</v>
      </c>
      <c r="K31" s="6">
        <v>5</v>
      </c>
      <c r="L31" s="6">
        <v>3</v>
      </c>
      <c r="M31" s="6">
        <v>5</v>
      </c>
      <c r="N31" s="6">
        <v>4</v>
      </c>
      <c r="O31" s="6">
        <v>4</v>
      </c>
      <c r="P31" s="6">
        <v>3</v>
      </c>
      <c r="Q31" s="6">
        <v>5</v>
      </c>
      <c r="R31" s="6">
        <v>1</v>
      </c>
      <c r="S31" s="6">
        <v>5</v>
      </c>
      <c r="T31" s="6">
        <v>5</v>
      </c>
      <c r="U31" s="6">
        <v>5</v>
      </c>
      <c r="V31" s="6" t="s">
        <v>41</v>
      </c>
      <c r="W31" s="6" t="s">
        <v>42</v>
      </c>
      <c r="X31" s="6" t="s">
        <v>88</v>
      </c>
      <c r="Y31" s="6" t="s">
        <v>44</v>
      </c>
      <c r="Z31" s="6" t="s">
        <v>45</v>
      </c>
    </row>
    <row r="32" spans="1:26" ht="22.5" customHeight="1" x14ac:dyDescent="0.25">
      <c r="A32" s="5">
        <v>46132.637279861112</v>
      </c>
      <c r="B32" s="6" t="s">
        <v>26</v>
      </c>
      <c r="C32" s="6" t="s">
        <v>27</v>
      </c>
      <c r="D32" s="6" t="s">
        <v>47</v>
      </c>
      <c r="E32" s="6" t="s">
        <v>70</v>
      </c>
      <c r="F32" s="6" t="s">
        <v>71</v>
      </c>
      <c r="G32" s="6" t="s">
        <v>31</v>
      </c>
      <c r="H32" s="6" t="s">
        <v>98</v>
      </c>
      <c r="I32" s="6">
        <v>5</v>
      </c>
      <c r="J32" s="6">
        <v>4</v>
      </c>
      <c r="K32" s="6">
        <v>5</v>
      </c>
      <c r="L32" s="6">
        <v>3</v>
      </c>
      <c r="M32" s="6">
        <v>5</v>
      </c>
      <c r="N32" s="6">
        <v>4</v>
      </c>
      <c r="O32" s="6">
        <v>5</v>
      </c>
      <c r="P32" s="6">
        <v>5</v>
      </c>
      <c r="Q32" s="6">
        <v>5</v>
      </c>
      <c r="R32" s="6">
        <v>3</v>
      </c>
      <c r="S32" s="6">
        <v>5</v>
      </c>
      <c r="T32" s="6">
        <v>5</v>
      </c>
      <c r="U32" s="6">
        <v>5</v>
      </c>
      <c r="V32" s="6" t="s">
        <v>41</v>
      </c>
      <c r="W32" s="6" t="s">
        <v>42</v>
      </c>
      <c r="X32" s="6" t="s">
        <v>88</v>
      </c>
      <c r="Y32" s="6" t="s">
        <v>74</v>
      </c>
      <c r="Z32" s="6" t="s">
        <v>45</v>
      </c>
    </row>
    <row r="33" spans="1:26" ht="22.5" customHeight="1" x14ac:dyDescent="0.25">
      <c r="A33" s="5">
        <v>46132.649723263894</v>
      </c>
      <c r="B33" s="6" t="s">
        <v>60</v>
      </c>
      <c r="C33" s="6" t="s">
        <v>27</v>
      </c>
      <c r="D33" s="6" t="s">
        <v>67</v>
      </c>
      <c r="E33" s="6" t="s">
        <v>70</v>
      </c>
      <c r="F33" s="6" t="s">
        <v>71</v>
      </c>
      <c r="G33" s="6" t="s">
        <v>31</v>
      </c>
      <c r="H33" s="6" t="s">
        <v>91</v>
      </c>
      <c r="I33" s="6">
        <v>4</v>
      </c>
      <c r="J33" s="6">
        <v>3</v>
      </c>
      <c r="K33" s="6">
        <v>4</v>
      </c>
      <c r="L33" s="6">
        <v>3</v>
      </c>
      <c r="M33" s="6">
        <v>5</v>
      </c>
      <c r="N33" s="6">
        <v>3</v>
      </c>
      <c r="O33" s="6">
        <v>4</v>
      </c>
      <c r="P33" s="6">
        <v>4</v>
      </c>
      <c r="Q33" s="6">
        <v>4</v>
      </c>
      <c r="R33" s="6">
        <v>3</v>
      </c>
      <c r="S33" s="6">
        <v>4</v>
      </c>
      <c r="T33" s="6">
        <v>4</v>
      </c>
      <c r="U33" s="6">
        <v>3</v>
      </c>
      <c r="V33" s="6" t="s">
        <v>41</v>
      </c>
      <c r="W33" s="6" t="s">
        <v>42</v>
      </c>
      <c r="X33" s="6" t="s">
        <v>68</v>
      </c>
      <c r="Y33" s="6" t="s">
        <v>44</v>
      </c>
      <c r="Z33" s="6" t="s">
        <v>45</v>
      </c>
    </row>
    <row r="34" spans="1:26" ht="22.5" customHeight="1" x14ac:dyDescent="0.25">
      <c r="A34" s="5">
        <v>46132.671270092593</v>
      </c>
      <c r="B34" s="6" t="s">
        <v>26</v>
      </c>
      <c r="C34" s="6" t="s">
        <v>27</v>
      </c>
      <c r="D34" s="6" t="s">
        <v>67</v>
      </c>
      <c r="E34" s="6" t="s">
        <v>99</v>
      </c>
      <c r="F34" s="6" t="s">
        <v>71</v>
      </c>
      <c r="G34" s="6" t="s">
        <v>48</v>
      </c>
      <c r="H34" s="6" t="s">
        <v>91</v>
      </c>
      <c r="I34" s="6">
        <v>5</v>
      </c>
      <c r="J34" s="6">
        <v>5</v>
      </c>
      <c r="K34" s="6">
        <v>5</v>
      </c>
      <c r="L34" s="6">
        <v>3</v>
      </c>
      <c r="M34" s="6">
        <v>5</v>
      </c>
      <c r="N34" s="6">
        <v>5</v>
      </c>
      <c r="O34" s="6">
        <v>5</v>
      </c>
      <c r="P34" s="6">
        <v>5</v>
      </c>
      <c r="Q34" s="6">
        <v>5</v>
      </c>
      <c r="R34" s="6">
        <v>2</v>
      </c>
      <c r="S34" s="6">
        <v>5</v>
      </c>
      <c r="T34" s="6">
        <v>5</v>
      </c>
      <c r="U34" s="6">
        <v>5</v>
      </c>
      <c r="V34" s="6" t="s">
        <v>41</v>
      </c>
      <c r="W34" s="6" t="s">
        <v>34</v>
      </c>
      <c r="X34" s="6" t="s">
        <v>68</v>
      </c>
      <c r="Y34" s="6" t="s">
        <v>74</v>
      </c>
      <c r="Z34" s="6" t="s">
        <v>45</v>
      </c>
    </row>
    <row r="35" spans="1:26" ht="22.5" customHeight="1" x14ac:dyDescent="0.25">
      <c r="A35" s="5">
        <v>46132.903790486111</v>
      </c>
      <c r="B35" s="6" t="s">
        <v>38</v>
      </c>
      <c r="C35" s="6" t="s">
        <v>27</v>
      </c>
      <c r="D35" s="6" t="s">
        <v>28</v>
      </c>
      <c r="E35" s="6" t="s">
        <v>64</v>
      </c>
      <c r="F35" s="6" t="s">
        <v>56</v>
      </c>
      <c r="G35" s="6" t="s">
        <v>31</v>
      </c>
      <c r="H35" s="6" t="s">
        <v>65</v>
      </c>
      <c r="I35" s="6">
        <v>4</v>
      </c>
      <c r="J35" s="6">
        <v>5</v>
      </c>
      <c r="K35" s="6">
        <v>5</v>
      </c>
      <c r="L35" s="6">
        <v>5</v>
      </c>
      <c r="M35" s="6">
        <v>5</v>
      </c>
      <c r="N35" s="6">
        <v>5</v>
      </c>
      <c r="O35" s="6">
        <v>5</v>
      </c>
      <c r="P35" s="6">
        <v>5</v>
      </c>
      <c r="Q35" s="6">
        <v>5</v>
      </c>
      <c r="R35" s="6">
        <v>1</v>
      </c>
      <c r="S35" s="6">
        <v>3</v>
      </c>
      <c r="T35" s="6">
        <v>5</v>
      </c>
      <c r="U35" s="6">
        <v>5</v>
      </c>
      <c r="V35" s="6" t="s">
        <v>41</v>
      </c>
      <c r="W35" s="6" t="s">
        <v>42</v>
      </c>
      <c r="X35" s="6" t="s">
        <v>100</v>
      </c>
      <c r="Y35" s="6" t="s">
        <v>54</v>
      </c>
      <c r="Z35" s="6" t="s">
        <v>45</v>
      </c>
    </row>
    <row r="36" spans="1:26" ht="22.5" customHeight="1" x14ac:dyDescent="0.25">
      <c r="A36" s="5">
        <v>46132.927021747688</v>
      </c>
      <c r="B36" s="6" t="s">
        <v>26</v>
      </c>
      <c r="C36" s="6" t="s">
        <v>27</v>
      </c>
      <c r="D36" s="6" t="s">
        <v>47</v>
      </c>
      <c r="E36" s="6" t="s">
        <v>70</v>
      </c>
      <c r="F36" s="6" t="s">
        <v>71</v>
      </c>
      <c r="G36" s="6" t="s">
        <v>31</v>
      </c>
      <c r="H36" s="6" t="s">
        <v>32</v>
      </c>
      <c r="I36" s="6">
        <v>5</v>
      </c>
      <c r="J36" s="6">
        <v>5</v>
      </c>
      <c r="K36" s="6">
        <v>5</v>
      </c>
      <c r="L36" s="6">
        <v>3</v>
      </c>
      <c r="M36" s="6">
        <v>5</v>
      </c>
      <c r="N36" s="6">
        <v>5</v>
      </c>
      <c r="O36" s="6">
        <v>5</v>
      </c>
      <c r="P36" s="6">
        <v>5</v>
      </c>
      <c r="Q36" s="6">
        <v>5</v>
      </c>
      <c r="R36" s="6">
        <v>1</v>
      </c>
      <c r="S36" s="6">
        <v>4</v>
      </c>
      <c r="T36" s="6">
        <v>5</v>
      </c>
      <c r="U36" s="6">
        <v>4</v>
      </c>
      <c r="V36" s="6" t="s">
        <v>41</v>
      </c>
      <c r="W36" s="6" t="s">
        <v>34</v>
      </c>
      <c r="X36" s="6" t="s">
        <v>68</v>
      </c>
      <c r="Y36" s="6" t="s">
        <v>54</v>
      </c>
      <c r="Z36" s="6" t="s">
        <v>45</v>
      </c>
    </row>
    <row r="37" spans="1:26" ht="22.5" customHeight="1" x14ac:dyDescent="0.25">
      <c r="A37" s="5">
        <v>46133.064129710649</v>
      </c>
      <c r="B37" s="6" t="s">
        <v>69</v>
      </c>
      <c r="C37" s="6" t="s">
        <v>27</v>
      </c>
      <c r="D37" s="6" t="s">
        <v>47</v>
      </c>
      <c r="E37" s="6" t="s">
        <v>64</v>
      </c>
      <c r="F37" s="6" t="s">
        <v>40</v>
      </c>
      <c r="G37" s="6" t="s">
        <v>31</v>
      </c>
      <c r="H37" s="6" t="s">
        <v>101</v>
      </c>
      <c r="I37" s="6">
        <v>5</v>
      </c>
      <c r="J37" s="6">
        <v>5</v>
      </c>
      <c r="K37" s="6">
        <v>5</v>
      </c>
      <c r="L37" s="6">
        <v>1</v>
      </c>
      <c r="M37" s="6">
        <v>4</v>
      </c>
      <c r="N37" s="6">
        <v>3</v>
      </c>
      <c r="O37" s="6">
        <v>1</v>
      </c>
      <c r="P37" s="6">
        <v>1</v>
      </c>
      <c r="Q37" s="6">
        <v>4</v>
      </c>
      <c r="R37" s="6">
        <v>4</v>
      </c>
      <c r="S37" s="6">
        <v>2</v>
      </c>
      <c r="T37" s="6">
        <v>5</v>
      </c>
      <c r="U37" s="6">
        <v>5</v>
      </c>
      <c r="V37" s="6" t="s">
        <v>102</v>
      </c>
      <c r="W37" s="6" t="s">
        <v>34</v>
      </c>
      <c r="X37" s="6" t="s">
        <v>88</v>
      </c>
      <c r="Y37" s="6" t="s">
        <v>44</v>
      </c>
      <c r="Z37" s="6" t="s">
        <v>45</v>
      </c>
    </row>
    <row r="38" spans="1:26" ht="22.5" customHeight="1" x14ac:dyDescent="0.25">
      <c r="A38" s="5">
        <v>46134.463055671295</v>
      </c>
      <c r="B38" s="6" t="s">
        <v>38</v>
      </c>
      <c r="C38" s="6" t="s">
        <v>46</v>
      </c>
      <c r="D38" s="6" t="s">
        <v>67</v>
      </c>
      <c r="E38" s="6" t="s">
        <v>29</v>
      </c>
      <c r="F38" s="6" t="s">
        <v>92</v>
      </c>
      <c r="G38" s="6" t="s">
        <v>31</v>
      </c>
      <c r="H38" s="6" t="s">
        <v>32</v>
      </c>
      <c r="I38" s="6">
        <v>4</v>
      </c>
      <c r="K38" s="6">
        <v>4</v>
      </c>
      <c r="L38" s="6">
        <v>2</v>
      </c>
      <c r="M38" s="6">
        <v>5</v>
      </c>
      <c r="N38" s="6">
        <v>5</v>
      </c>
      <c r="O38" s="6">
        <v>5</v>
      </c>
      <c r="P38" s="6">
        <v>5</v>
      </c>
      <c r="Q38" s="6">
        <v>5</v>
      </c>
      <c r="R38" s="6">
        <v>3</v>
      </c>
      <c r="S38" s="6">
        <v>5</v>
      </c>
      <c r="T38" s="6">
        <v>5</v>
      </c>
      <c r="U38" s="6">
        <v>5</v>
      </c>
      <c r="V38" s="6" t="s">
        <v>41</v>
      </c>
      <c r="W38" s="6" t="s">
        <v>34</v>
      </c>
      <c r="X38" s="6" t="s">
        <v>103</v>
      </c>
      <c r="Y38" s="6" t="s">
        <v>104</v>
      </c>
      <c r="Z38" s="6" t="s">
        <v>45</v>
      </c>
    </row>
    <row r="39" spans="1:26" ht="22.5" customHeight="1" x14ac:dyDescent="0.25">
      <c r="A39" s="5">
        <v>46139.503635567133</v>
      </c>
      <c r="B39" s="6" t="s">
        <v>69</v>
      </c>
      <c r="C39" s="6" t="s">
        <v>27</v>
      </c>
      <c r="D39" s="6" t="s">
        <v>47</v>
      </c>
      <c r="E39" s="6" t="s">
        <v>64</v>
      </c>
      <c r="F39" s="6" t="s">
        <v>71</v>
      </c>
      <c r="G39" s="6" t="s">
        <v>31</v>
      </c>
      <c r="H39" s="6" t="s">
        <v>105</v>
      </c>
      <c r="I39" s="6">
        <v>3</v>
      </c>
      <c r="K39" s="6">
        <v>3</v>
      </c>
      <c r="L39" s="6">
        <v>2</v>
      </c>
      <c r="M39" s="6">
        <v>4</v>
      </c>
      <c r="N39" s="6">
        <v>3</v>
      </c>
      <c r="O39" s="6">
        <v>3</v>
      </c>
      <c r="P39" s="6">
        <v>4</v>
      </c>
      <c r="Q39" s="6">
        <v>4</v>
      </c>
      <c r="R39" s="6">
        <v>4</v>
      </c>
      <c r="S39" s="6">
        <v>5</v>
      </c>
      <c r="T39" s="6">
        <v>1</v>
      </c>
      <c r="U39" s="6">
        <v>5</v>
      </c>
      <c r="V39" s="6" t="s">
        <v>41</v>
      </c>
      <c r="W39" s="6" t="s">
        <v>34</v>
      </c>
      <c r="X39" s="6" t="s">
        <v>68</v>
      </c>
      <c r="Y39" s="6" t="s">
        <v>74</v>
      </c>
      <c r="Z39" s="6" t="s">
        <v>45</v>
      </c>
    </row>
    <row r="40" spans="1:26" ht="22.5" customHeight="1" x14ac:dyDescent="0.25">
      <c r="A40" s="5">
        <v>46139.512522835648</v>
      </c>
      <c r="B40" s="6" t="s">
        <v>38</v>
      </c>
      <c r="C40" s="6" t="s">
        <v>27</v>
      </c>
      <c r="D40" s="6" t="s">
        <v>67</v>
      </c>
      <c r="E40" s="6" t="s">
        <v>99</v>
      </c>
      <c r="F40" s="6" t="s">
        <v>89</v>
      </c>
      <c r="G40" s="6" t="s">
        <v>48</v>
      </c>
      <c r="H40" s="6" t="s">
        <v>32</v>
      </c>
      <c r="I40" s="6">
        <v>3</v>
      </c>
      <c r="J40" s="6">
        <v>4</v>
      </c>
      <c r="K40" s="6">
        <v>2</v>
      </c>
      <c r="L40" s="6">
        <v>2</v>
      </c>
      <c r="M40" s="6">
        <v>2</v>
      </c>
      <c r="N40" s="6">
        <v>2</v>
      </c>
      <c r="O40" s="6">
        <v>2</v>
      </c>
      <c r="P40" s="6">
        <v>2</v>
      </c>
      <c r="Q40" s="6">
        <v>3</v>
      </c>
      <c r="R40" s="6">
        <v>4</v>
      </c>
      <c r="S40" s="6">
        <v>3</v>
      </c>
      <c r="T40" s="6">
        <v>4</v>
      </c>
      <c r="U40" s="6">
        <v>4</v>
      </c>
      <c r="V40" s="6" t="s">
        <v>102</v>
      </c>
      <c r="W40" s="6" t="s">
        <v>42</v>
      </c>
      <c r="X40" s="6" t="s">
        <v>68</v>
      </c>
      <c r="Y40" s="6" t="s">
        <v>36</v>
      </c>
      <c r="Z40" s="6" t="s">
        <v>45</v>
      </c>
    </row>
    <row r="41" spans="1:26" ht="22.5" customHeight="1" x14ac:dyDescent="0.25">
      <c r="A41" s="5">
        <v>46139.635486967592</v>
      </c>
      <c r="B41" s="6" t="s">
        <v>38</v>
      </c>
      <c r="C41" s="6" t="s">
        <v>46</v>
      </c>
      <c r="D41" s="6" t="s">
        <v>28</v>
      </c>
      <c r="E41" s="6" t="s">
        <v>39</v>
      </c>
      <c r="F41" s="6" t="s">
        <v>40</v>
      </c>
      <c r="G41" s="6" t="s">
        <v>31</v>
      </c>
      <c r="H41" s="6" t="s">
        <v>91</v>
      </c>
      <c r="I41" s="6">
        <v>5</v>
      </c>
      <c r="K41" s="6">
        <v>5</v>
      </c>
      <c r="L41" s="6">
        <v>3</v>
      </c>
      <c r="M41" s="6">
        <v>3</v>
      </c>
      <c r="N41" s="6">
        <v>3</v>
      </c>
      <c r="O41" s="6">
        <v>5</v>
      </c>
      <c r="P41" s="6">
        <v>3</v>
      </c>
      <c r="Q41" s="6">
        <v>5</v>
      </c>
      <c r="R41" s="6">
        <v>3</v>
      </c>
      <c r="S41" s="6">
        <v>4</v>
      </c>
      <c r="T41" s="6">
        <v>3</v>
      </c>
      <c r="U41" s="6">
        <v>5</v>
      </c>
      <c r="V41" s="6" t="s">
        <v>33</v>
      </c>
      <c r="W41" s="6" t="s">
        <v>42</v>
      </c>
      <c r="X41" s="6" t="s">
        <v>88</v>
      </c>
      <c r="Y41" s="6" t="s">
        <v>74</v>
      </c>
      <c r="Z41" s="6" t="s">
        <v>45</v>
      </c>
    </row>
    <row r="42" spans="1:26" ht="22.5" customHeight="1" x14ac:dyDescent="0.25">
      <c r="A42" s="5">
        <v>46140.574106655091</v>
      </c>
      <c r="B42" s="6" t="s">
        <v>26</v>
      </c>
      <c r="C42" s="6" t="s">
        <v>27</v>
      </c>
      <c r="D42" s="6" t="s">
        <v>50</v>
      </c>
      <c r="E42" s="6" t="s">
        <v>64</v>
      </c>
      <c r="F42" s="6" t="s">
        <v>40</v>
      </c>
      <c r="G42" s="6" t="s">
        <v>31</v>
      </c>
      <c r="H42" s="6" t="s">
        <v>106</v>
      </c>
      <c r="I42" s="6">
        <v>1</v>
      </c>
      <c r="J42" s="6">
        <v>2</v>
      </c>
      <c r="K42" s="6">
        <v>3</v>
      </c>
      <c r="L42" s="6">
        <v>3</v>
      </c>
      <c r="M42" s="6">
        <v>5</v>
      </c>
      <c r="N42" s="6">
        <v>4</v>
      </c>
      <c r="O42" s="6">
        <v>5</v>
      </c>
      <c r="P42" s="6">
        <v>3</v>
      </c>
      <c r="Q42" s="6">
        <v>4</v>
      </c>
      <c r="R42" s="6">
        <v>4</v>
      </c>
      <c r="S42" s="6">
        <v>2</v>
      </c>
      <c r="T42" s="6">
        <v>2</v>
      </c>
      <c r="U42" s="6">
        <v>2</v>
      </c>
      <c r="V42" s="6" t="s">
        <v>41</v>
      </c>
      <c r="W42" s="6" t="s">
        <v>42</v>
      </c>
      <c r="X42" s="6" t="s">
        <v>88</v>
      </c>
      <c r="Y42" s="6" t="s">
        <v>54</v>
      </c>
      <c r="Z42" s="6" t="s">
        <v>45</v>
      </c>
    </row>
    <row r="43" spans="1:26" ht="22.5" customHeight="1" x14ac:dyDescent="0.25">
      <c r="A43" s="5">
        <v>46155.453148298606</v>
      </c>
      <c r="B43" s="6" t="s">
        <v>69</v>
      </c>
      <c r="C43" s="6" t="s">
        <v>27</v>
      </c>
      <c r="D43" s="6" t="s">
        <v>67</v>
      </c>
      <c r="E43" s="6" t="s">
        <v>64</v>
      </c>
      <c r="F43" s="6" t="s">
        <v>40</v>
      </c>
      <c r="G43" s="6" t="s">
        <v>31</v>
      </c>
      <c r="H43" s="6" t="s">
        <v>105</v>
      </c>
      <c r="I43" s="6">
        <v>1</v>
      </c>
      <c r="J43" s="6">
        <v>3</v>
      </c>
      <c r="K43" s="6">
        <v>2</v>
      </c>
      <c r="L43" s="6">
        <v>1</v>
      </c>
      <c r="M43" s="6">
        <v>4</v>
      </c>
      <c r="N43" s="6">
        <v>4</v>
      </c>
      <c r="O43" s="6">
        <v>4</v>
      </c>
      <c r="P43" s="6">
        <v>3</v>
      </c>
      <c r="Q43" s="6">
        <v>4</v>
      </c>
      <c r="R43" s="6">
        <v>5</v>
      </c>
      <c r="S43" s="6">
        <v>3</v>
      </c>
      <c r="T43" s="6">
        <v>5</v>
      </c>
      <c r="U43" s="6">
        <v>5</v>
      </c>
      <c r="V43" s="6" t="s">
        <v>41</v>
      </c>
      <c r="W43" s="6" t="s">
        <v>34</v>
      </c>
      <c r="X43" s="6" t="s">
        <v>62</v>
      </c>
      <c r="Y43" s="6" t="s">
        <v>74</v>
      </c>
      <c r="Z43" s="6" t="s">
        <v>45</v>
      </c>
    </row>
    <row r="44" spans="1:26" ht="22.5" customHeight="1" x14ac:dyDescent="0.25">
      <c r="A44" s="5">
        <v>46163.364140659723</v>
      </c>
      <c r="B44" s="6" t="s">
        <v>82</v>
      </c>
      <c r="C44" s="6" t="s">
        <v>27</v>
      </c>
      <c r="D44" s="6" t="s">
        <v>67</v>
      </c>
      <c r="E44" s="6" t="s">
        <v>70</v>
      </c>
      <c r="F44" s="6" t="s">
        <v>92</v>
      </c>
      <c r="G44" s="6" t="s">
        <v>31</v>
      </c>
      <c r="H44" s="6" t="s">
        <v>91</v>
      </c>
      <c r="I44" s="6">
        <v>1</v>
      </c>
      <c r="J44" s="6">
        <v>2</v>
      </c>
      <c r="K44" s="6">
        <v>4</v>
      </c>
      <c r="L44" s="6">
        <v>1</v>
      </c>
      <c r="M44" s="6">
        <v>3</v>
      </c>
      <c r="N44" s="6">
        <v>5</v>
      </c>
      <c r="O44" s="6">
        <v>3</v>
      </c>
      <c r="P44" s="6">
        <v>4</v>
      </c>
      <c r="Q44" s="6">
        <v>3</v>
      </c>
      <c r="R44" s="6">
        <v>5</v>
      </c>
      <c r="S44" s="6">
        <v>3</v>
      </c>
      <c r="T44" s="6">
        <v>5</v>
      </c>
      <c r="U44" s="6">
        <v>5</v>
      </c>
      <c r="V44" s="6" t="s">
        <v>41</v>
      </c>
      <c r="W44" s="6" t="s">
        <v>34</v>
      </c>
      <c r="X44" s="6" t="s">
        <v>68</v>
      </c>
      <c r="Y44" s="6" t="s">
        <v>74</v>
      </c>
      <c r="Z44" s="6" t="s">
        <v>45</v>
      </c>
    </row>
    <row r="45" spans="1:26" ht="22.5" customHeight="1" x14ac:dyDescent="0.25">
      <c r="A45" s="5">
        <v>46163.369730081016</v>
      </c>
      <c r="B45" s="6" t="s">
        <v>38</v>
      </c>
      <c r="C45" s="6" t="s">
        <v>46</v>
      </c>
      <c r="D45" s="6" t="s">
        <v>47</v>
      </c>
      <c r="E45" s="6" t="s">
        <v>29</v>
      </c>
      <c r="F45" s="6" t="s">
        <v>79</v>
      </c>
      <c r="G45" s="6" t="s">
        <v>107</v>
      </c>
      <c r="H45" s="6" t="s">
        <v>57</v>
      </c>
      <c r="I45" s="6">
        <v>3</v>
      </c>
      <c r="J45" s="6">
        <v>5</v>
      </c>
      <c r="K45" s="6">
        <v>3</v>
      </c>
      <c r="L45" s="6">
        <v>2</v>
      </c>
      <c r="M45" s="6">
        <v>1</v>
      </c>
      <c r="N45" s="6">
        <v>1</v>
      </c>
      <c r="O45" s="6">
        <v>3</v>
      </c>
      <c r="P45" s="6">
        <v>3</v>
      </c>
      <c r="Q45" s="6">
        <v>4</v>
      </c>
      <c r="R45" s="6">
        <v>3</v>
      </c>
      <c r="S45" s="6">
        <v>3</v>
      </c>
      <c r="T45" s="6">
        <v>5</v>
      </c>
      <c r="U45" s="6">
        <v>5</v>
      </c>
      <c r="V45" s="6" t="s">
        <v>41</v>
      </c>
      <c r="W45" s="6" t="s">
        <v>42</v>
      </c>
      <c r="X45" s="6" t="s">
        <v>68</v>
      </c>
      <c r="Y45" s="6" t="s">
        <v>36</v>
      </c>
      <c r="Z45" s="6" t="s">
        <v>45</v>
      </c>
    </row>
    <row r="46" spans="1:26" ht="22.5" customHeight="1" x14ac:dyDescent="0.25">
      <c r="A46" s="5">
        <v>46163.370806458333</v>
      </c>
      <c r="B46" s="6" t="s">
        <v>38</v>
      </c>
      <c r="C46" s="6" t="s">
        <v>27</v>
      </c>
      <c r="D46" s="6" t="s">
        <v>28</v>
      </c>
      <c r="E46" s="6" t="s">
        <v>70</v>
      </c>
      <c r="F46" s="6" t="s">
        <v>92</v>
      </c>
      <c r="G46" s="6" t="s">
        <v>31</v>
      </c>
      <c r="H46" s="6" t="s">
        <v>91</v>
      </c>
      <c r="I46" s="6">
        <v>3</v>
      </c>
      <c r="J46" s="6">
        <v>4</v>
      </c>
      <c r="K46" s="6">
        <v>4</v>
      </c>
      <c r="L46" s="6">
        <v>4</v>
      </c>
      <c r="M46" s="6">
        <v>5</v>
      </c>
      <c r="N46" s="6">
        <v>5</v>
      </c>
      <c r="O46" s="6">
        <v>4</v>
      </c>
      <c r="P46" s="6">
        <v>4</v>
      </c>
      <c r="Q46" s="6">
        <v>4</v>
      </c>
      <c r="R46" s="6">
        <v>1</v>
      </c>
      <c r="S46" s="6">
        <v>2</v>
      </c>
      <c r="T46" s="6">
        <v>5</v>
      </c>
      <c r="U46" s="6">
        <v>3</v>
      </c>
      <c r="V46" s="6" t="s">
        <v>41</v>
      </c>
      <c r="W46" s="6" t="s">
        <v>42</v>
      </c>
      <c r="X46" s="6" t="s">
        <v>49</v>
      </c>
      <c r="Y46" s="6" t="s">
        <v>74</v>
      </c>
      <c r="Z46" s="6" t="s">
        <v>45</v>
      </c>
    </row>
    <row r="47" spans="1:26" ht="22.5" customHeight="1" x14ac:dyDescent="0.25">
      <c r="A47" s="5">
        <v>46163.373661377314</v>
      </c>
      <c r="B47" s="6" t="s">
        <v>26</v>
      </c>
      <c r="C47" s="6" t="s">
        <v>27</v>
      </c>
      <c r="D47" s="6" t="s">
        <v>28</v>
      </c>
      <c r="E47" s="6" t="s">
        <v>70</v>
      </c>
      <c r="F47" s="6" t="s">
        <v>71</v>
      </c>
      <c r="G47" s="6" t="s">
        <v>31</v>
      </c>
      <c r="H47" s="6" t="s">
        <v>32</v>
      </c>
      <c r="I47" s="6">
        <v>2</v>
      </c>
      <c r="J47" s="6">
        <v>5</v>
      </c>
      <c r="K47" s="6">
        <v>4</v>
      </c>
      <c r="L47" s="6">
        <v>3</v>
      </c>
      <c r="M47" s="6">
        <v>4</v>
      </c>
      <c r="N47" s="6">
        <v>4</v>
      </c>
      <c r="O47" s="6">
        <v>4</v>
      </c>
      <c r="P47" s="6">
        <v>3</v>
      </c>
      <c r="Q47" s="6">
        <v>5</v>
      </c>
      <c r="R47" s="6">
        <v>4</v>
      </c>
      <c r="S47" s="6">
        <v>4</v>
      </c>
      <c r="T47" s="6">
        <v>4</v>
      </c>
      <c r="U47" s="6">
        <v>4</v>
      </c>
      <c r="V47" s="6" t="s">
        <v>41</v>
      </c>
      <c r="W47" s="6" t="s">
        <v>42</v>
      </c>
      <c r="X47" s="6" t="s">
        <v>49</v>
      </c>
      <c r="Y47" s="6" t="s">
        <v>44</v>
      </c>
      <c r="Z47" s="6" t="s">
        <v>45</v>
      </c>
    </row>
    <row r="48" spans="1:26" ht="22.5" customHeight="1" x14ac:dyDescent="0.25">
      <c r="A48" s="5">
        <v>46163.378148506948</v>
      </c>
      <c r="B48" s="6" t="s">
        <v>26</v>
      </c>
      <c r="C48" s="6" t="s">
        <v>27</v>
      </c>
      <c r="D48" s="6" t="s">
        <v>50</v>
      </c>
      <c r="E48" s="6" t="s">
        <v>61</v>
      </c>
      <c r="F48" s="6" t="s">
        <v>71</v>
      </c>
      <c r="G48" s="6" t="s">
        <v>48</v>
      </c>
      <c r="H48" s="6" t="s">
        <v>32</v>
      </c>
      <c r="I48" s="6">
        <v>4</v>
      </c>
      <c r="K48" s="6">
        <v>5</v>
      </c>
      <c r="L48" s="6">
        <v>5</v>
      </c>
      <c r="M48" s="6">
        <v>5</v>
      </c>
      <c r="N48" s="6">
        <v>5</v>
      </c>
      <c r="O48" s="6">
        <v>5</v>
      </c>
      <c r="P48" s="6">
        <v>5</v>
      </c>
      <c r="Q48" s="6">
        <v>5</v>
      </c>
      <c r="R48" s="6">
        <v>2</v>
      </c>
      <c r="S48" s="6">
        <v>4</v>
      </c>
      <c r="T48" s="6">
        <v>5</v>
      </c>
      <c r="U48" s="6">
        <v>4</v>
      </c>
      <c r="V48" s="6" t="s">
        <v>41</v>
      </c>
      <c r="W48" s="6" t="s">
        <v>42</v>
      </c>
      <c r="X48" s="6" t="s">
        <v>62</v>
      </c>
      <c r="Y48" s="6" t="s">
        <v>54</v>
      </c>
      <c r="Z48" s="6" t="s">
        <v>45</v>
      </c>
    </row>
    <row r="49" spans="1:26" ht="22.5" customHeight="1" x14ac:dyDescent="0.25">
      <c r="A49" s="5">
        <v>46175.019227349534</v>
      </c>
      <c r="B49" s="6" t="s">
        <v>38</v>
      </c>
      <c r="C49" s="6" t="s">
        <v>46</v>
      </c>
      <c r="D49" s="6" t="s">
        <v>47</v>
      </c>
      <c r="E49" s="6" t="s">
        <v>29</v>
      </c>
      <c r="F49" s="6" t="s">
        <v>79</v>
      </c>
      <c r="G49" s="6" t="s">
        <v>107</v>
      </c>
      <c r="H49" s="6" t="s">
        <v>32</v>
      </c>
      <c r="I49" s="6">
        <v>5</v>
      </c>
      <c r="K49" s="6">
        <v>5</v>
      </c>
      <c r="L49" s="6">
        <v>1</v>
      </c>
      <c r="M49" s="6">
        <v>3</v>
      </c>
      <c r="N49" s="6">
        <v>3</v>
      </c>
      <c r="O49" s="6">
        <v>2</v>
      </c>
      <c r="P49" s="6">
        <v>3</v>
      </c>
      <c r="Q49" s="6">
        <v>3</v>
      </c>
      <c r="R49" s="6">
        <v>3</v>
      </c>
      <c r="S49" s="6">
        <v>3</v>
      </c>
      <c r="T49" s="6">
        <v>5</v>
      </c>
      <c r="U49" s="6">
        <v>1</v>
      </c>
      <c r="V49" s="6" t="s">
        <v>41</v>
      </c>
      <c r="W49" s="6" t="s">
        <v>34</v>
      </c>
      <c r="X49" s="6" t="s">
        <v>68</v>
      </c>
      <c r="Y49" s="6" t="s">
        <v>36</v>
      </c>
      <c r="Z49" s="6" t="s">
        <v>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14C92-B1C9-4F43-84F5-C62C738DF5DF}">
  <dimension ref="A1:AU24"/>
  <sheetViews>
    <sheetView zoomScale="85" zoomScaleNormal="85" workbookViewId="0">
      <selection activeCell="A24" sqref="A5:XFD24"/>
    </sheetView>
  </sheetViews>
  <sheetFormatPr defaultRowHeight="13.5" x14ac:dyDescent="0.25"/>
  <cols>
    <col min="1" max="1" width="20" customWidth="1"/>
  </cols>
  <sheetData>
    <row r="1" spans="1:47" x14ac:dyDescent="0.25">
      <c r="A1" s="29" t="s">
        <v>0</v>
      </c>
      <c r="B1" s="29" t="s">
        <v>117</v>
      </c>
      <c r="C1" s="29" t="s">
        <v>118</v>
      </c>
      <c r="D1" s="29" t="s">
        <v>119</v>
      </c>
      <c r="E1" s="29" t="s">
        <v>120</v>
      </c>
      <c r="F1" s="29" t="s">
        <v>121</v>
      </c>
      <c r="G1" s="29" t="s">
        <v>122</v>
      </c>
      <c r="H1" s="29" t="s">
        <v>123</v>
      </c>
      <c r="I1" s="29" t="s">
        <v>124</v>
      </c>
      <c r="J1" s="29" t="s">
        <v>125</v>
      </c>
      <c r="K1" s="29" t="s">
        <v>126</v>
      </c>
      <c r="L1" s="29" t="s">
        <v>127</v>
      </c>
      <c r="M1" s="29" t="s">
        <v>128</v>
      </c>
      <c r="N1" s="29" t="s">
        <v>129</v>
      </c>
      <c r="O1" s="29" t="s">
        <v>130</v>
      </c>
      <c r="P1" s="29" t="s">
        <v>131</v>
      </c>
      <c r="Q1" s="29" t="s">
        <v>132</v>
      </c>
      <c r="R1" s="29" t="s">
        <v>133</v>
      </c>
      <c r="S1" s="29" t="s">
        <v>134</v>
      </c>
      <c r="T1" s="29" t="s">
        <v>135</v>
      </c>
      <c r="U1" s="29" t="s">
        <v>136</v>
      </c>
      <c r="V1" s="29" t="s">
        <v>137</v>
      </c>
      <c r="W1" s="29" t="s">
        <v>138</v>
      </c>
      <c r="X1" s="29" t="s">
        <v>139</v>
      </c>
      <c r="Y1" s="29" t="s">
        <v>140</v>
      </c>
      <c r="Z1" s="29" t="s">
        <v>141</v>
      </c>
      <c r="AA1" s="29" t="s">
        <v>142</v>
      </c>
      <c r="AB1" s="29" t="s">
        <v>143</v>
      </c>
      <c r="AC1" s="29" t="s">
        <v>144</v>
      </c>
      <c r="AD1" s="29" t="s">
        <v>145</v>
      </c>
      <c r="AE1" s="29" t="s">
        <v>146</v>
      </c>
      <c r="AF1" s="29" t="s">
        <v>147</v>
      </c>
      <c r="AG1" s="29" t="s">
        <v>148</v>
      </c>
      <c r="AH1" s="29" t="s">
        <v>149</v>
      </c>
      <c r="AI1" s="29" t="s">
        <v>150</v>
      </c>
      <c r="AJ1" s="29" t="s">
        <v>151</v>
      </c>
      <c r="AK1" s="29" t="s">
        <v>152</v>
      </c>
      <c r="AL1" s="29" t="s">
        <v>153</v>
      </c>
      <c r="AM1" s="29" t="s">
        <v>154</v>
      </c>
      <c r="AN1" s="29" t="s">
        <v>155</v>
      </c>
      <c r="AO1" s="29" t="s">
        <v>156</v>
      </c>
      <c r="AP1" s="29" t="s">
        <v>157</v>
      </c>
      <c r="AQ1" s="29" t="s">
        <v>158</v>
      </c>
      <c r="AR1" s="29" t="s">
        <v>159</v>
      </c>
      <c r="AS1" s="29" t="s">
        <v>160</v>
      </c>
      <c r="AT1" s="29" t="s">
        <v>161</v>
      </c>
      <c r="AU1" s="29" t="s">
        <v>25</v>
      </c>
    </row>
    <row r="2" spans="1:47" x14ac:dyDescent="0.25">
      <c r="A2" s="30">
        <v>46077.92750237268</v>
      </c>
      <c r="B2" s="31" t="s">
        <v>64</v>
      </c>
      <c r="C2" s="31" t="s">
        <v>162</v>
      </c>
      <c r="D2" s="32" t="s">
        <v>163</v>
      </c>
      <c r="E2" s="31">
        <v>500</v>
      </c>
      <c r="F2" s="31" t="s">
        <v>164</v>
      </c>
      <c r="G2" s="31">
        <v>4</v>
      </c>
      <c r="H2" s="31" t="s">
        <v>165</v>
      </c>
      <c r="I2" s="31" t="s">
        <v>165</v>
      </c>
      <c r="J2" s="31" t="s">
        <v>165</v>
      </c>
      <c r="K2" s="31" t="s">
        <v>165</v>
      </c>
      <c r="L2" s="31" t="s">
        <v>165</v>
      </c>
      <c r="M2" s="31"/>
      <c r="N2" s="31" t="s">
        <v>166</v>
      </c>
      <c r="O2" s="31" t="s">
        <v>167</v>
      </c>
      <c r="P2" s="31" t="s">
        <v>168</v>
      </c>
      <c r="Q2" s="31" t="s">
        <v>169</v>
      </c>
      <c r="R2" s="31" t="s">
        <v>170</v>
      </c>
      <c r="S2" s="31" t="s">
        <v>167</v>
      </c>
      <c r="T2" s="31" t="s">
        <v>167</v>
      </c>
      <c r="U2" s="31" t="s">
        <v>167</v>
      </c>
      <c r="V2" s="31" t="s">
        <v>167</v>
      </c>
      <c r="W2" s="31" t="s">
        <v>167</v>
      </c>
      <c r="X2" s="31" t="s">
        <v>168</v>
      </c>
      <c r="Y2" s="31" t="s">
        <v>171</v>
      </c>
      <c r="Z2" s="31" t="s">
        <v>167</v>
      </c>
      <c r="AA2" s="31" t="s">
        <v>168</v>
      </c>
      <c r="AB2" s="31" t="s">
        <v>167</v>
      </c>
      <c r="AC2" s="31" t="s">
        <v>169</v>
      </c>
      <c r="AD2" s="31"/>
      <c r="AE2" s="31">
        <v>1</v>
      </c>
      <c r="AF2" s="31">
        <v>2</v>
      </c>
      <c r="AG2" s="31">
        <v>5</v>
      </c>
      <c r="AH2" s="31">
        <v>4</v>
      </c>
      <c r="AI2" s="31">
        <v>3</v>
      </c>
      <c r="AJ2" s="31">
        <v>3</v>
      </c>
      <c r="AK2" s="31" t="s">
        <v>172</v>
      </c>
      <c r="AL2" s="31" t="s">
        <v>35</v>
      </c>
      <c r="AM2" s="31" t="s">
        <v>173</v>
      </c>
      <c r="AN2" s="31" t="s">
        <v>174</v>
      </c>
      <c r="AO2" s="31" t="s">
        <v>35</v>
      </c>
      <c r="AP2" s="31" t="s">
        <v>175</v>
      </c>
      <c r="AQ2" s="31" t="s">
        <v>176</v>
      </c>
      <c r="AR2" s="31" t="s">
        <v>177</v>
      </c>
      <c r="AS2" s="31" t="s">
        <v>178</v>
      </c>
      <c r="AT2" s="31" t="s">
        <v>179</v>
      </c>
      <c r="AU2" s="31" t="s">
        <v>37</v>
      </c>
    </row>
    <row r="3" spans="1:47" x14ac:dyDescent="0.25">
      <c r="A3" s="30">
        <v>46081.604428344908</v>
      </c>
      <c r="B3" s="31" t="s">
        <v>39</v>
      </c>
      <c r="C3" s="31" t="s">
        <v>180</v>
      </c>
      <c r="D3" s="31" t="s">
        <v>181</v>
      </c>
      <c r="E3" s="31">
        <v>4</v>
      </c>
      <c r="F3" s="31" t="s">
        <v>182</v>
      </c>
      <c r="G3" s="31" t="s">
        <v>183</v>
      </c>
      <c r="H3" s="31" t="s">
        <v>184</v>
      </c>
      <c r="I3" s="31" t="s">
        <v>185</v>
      </c>
      <c r="J3" s="31" t="s">
        <v>185</v>
      </c>
      <c r="K3" s="31" t="s">
        <v>185</v>
      </c>
      <c r="L3" s="31" t="s">
        <v>185</v>
      </c>
      <c r="M3" s="31"/>
      <c r="N3" s="31" t="s">
        <v>186</v>
      </c>
      <c r="O3" s="31" t="s">
        <v>184</v>
      </c>
      <c r="P3" s="31" t="s">
        <v>186</v>
      </c>
      <c r="Q3" s="31" t="s">
        <v>186</v>
      </c>
      <c r="R3" s="31" t="s">
        <v>186</v>
      </c>
      <c r="S3" s="31" t="s">
        <v>185</v>
      </c>
      <c r="T3" s="31" t="s">
        <v>185</v>
      </c>
      <c r="U3" s="31" t="s">
        <v>185</v>
      </c>
      <c r="V3" s="31" t="s">
        <v>185</v>
      </c>
      <c r="W3" s="31" t="s">
        <v>185</v>
      </c>
      <c r="X3" s="31" t="s">
        <v>185</v>
      </c>
      <c r="Y3" s="31" t="s">
        <v>185</v>
      </c>
      <c r="Z3" s="31" t="s">
        <v>185</v>
      </c>
      <c r="AA3" s="31" t="s">
        <v>184</v>
      </c>
      <c r="AB3" s="31" t="s">
        <v>185</v>
      </c>
      <c r="AC3" s="31" t="s">
        <v>186</v>
      </c>
      <c r="AD3" s="31" t="s">
        <v>184</v>
      </c>
      <c r="AE3" s="31">
        <v>5</v>
      </c>
      <c r="AF3" s="31">
        <v>2</v>
      </c>
      <c r="AG3" s="31">
        <v>4</v>
      </c>
      <c r="AH3" s="31">
        <v>5</v>
      </c>
      <c r="AI3" s="31">
        <v>3</v>
      </c>
      <c r="AJ3" s="31">
        <v>3</v>
      </c>
      <c r="AK3" s="31" t="s">
        <v>187</v>
      </c>
      <c r="AL3" s="31" t="s">
        <v>188</v>
      </c>
      <c r="AM3" s="31" t="s">
        <v>189</v>
      </c>
      <c r="AN3" s="31" t="s">
        <v>190</v>
      </c>
      <c r="AO3" s="31" t="s">
        <v>191</v>
      </c>
      <c r="AP3" s="31" t="s">
        <v>192</v>
      </c>
      <c r="AQ3" s="31" t="s">
        <v>193</v>
      </c>
      <c r="AR3" s="31" t="s">
        <v>194</v>
      </c>
      <c r="AS3" s="31" t="s">
        <v>195</v>
      </c>
      <c r="AT3" s="31" t="s">
        <v>196</v>
      </c>
      <c r="AU3" s="31" t="s">
        <v>45</v>
      </c>
    </row>
    <row r="4" spans="1:47" x14ac:dyDescent="0.25">
      <c r="A4" s="30">
        <v>46082.489256469911</v>
      </c>
      <c r="B4" s="31" t="s">
        <v>29</v>
      </c>
      <c r="C4" s="31" t="s">
        <v>29</v>
      </c>
      <c r="D4" s="31" t="s">
        <v>181</v>
      </c>
      <c r="E4" s="31" t="s">
        <v>197</v>
      </c>
      <c r="F4" s="31" t="s">
        <v>198</v>
      </c>
      <c r="G4" s="31" t="s">
        <v>199</v>
      </c>
      <c r="H4" s="31" t="s">
        <v>185</v>
      </c>
      <c r="I4" s="31" t="s">
        <v>185</v>
      </c>
      <c r="J4" s="31" t="s">
        <v>184</v>
      </c>
      <c r="K4" s="31" t="s">
        <v>185</v>
      </c>
      <c r="L4" s="31" t="s">
        <v>185</v>
      </c>
      <c r="M4" s="31"/>
      <c r="N4" s="31" t="s">
        <v>184</v>
      </c>
      <c r="O4" s="31" t="s">
        <v>186</v>
      </c>
      <c r="P4" s="31" t="s">
        <v>186</v>
      </c>
      <c r="Q4" s="31" t="s">
        <v>186</v>
      </c>
      <c r="R4" s="31" t="s">
        <v>186</v>
      </c>
      <c r="S4" s="31" t="s">
        <v>185</v>
      </c>
      <c r="T4" s="31" t="s">
        <v>185</v>
      </c>
      <c r="U4" s="31" t="s">
        <v>185</v>
      </c>
      <c r="V4" s="31" t="s">
        <v>185</v>
      </c>
      <c r="W4" s="31" t="s">
        <v>185</v>
      </c>
      <c r="X4" s="31" t="s">
        <v>185</v>
      </c>
      <c r="Y4" s="31" t="s">
        <v>185</v>
      </c>
      <c r="Z4" s="31" t="s">
        <v>185</v>
      </c>
      <c r="AA4" s="31" t="s">
        <v>184</v>
      </c>
      <c r="AB4" s="31" t="s">
        <v>185</v>
      </c>
      <c r="AC4" s="31" t="s">
        <v>186</v>
      </c>
      <c r="AD4" s="31" t="s">
        <v>200</v>
      </c>
      <c r="AE4" s="31">
        <v>3</v>
      </c>
      <c r="AF4" s="31">
        <v>3</v>
      </c>
      <c r="AG4" s="31">
        <v>3</v>
      </c>
      <c r="AH4" s="31">
        <v>3</v>
      </c>
      <c r="AI4" s="31">
        <v>4</v>
      </c>
      <c r="AJ4" s="31">
        <v>4</v>
      </c>
      <c r="AK4" s="31" t="s">
        <v>187</v>
      </c>
      <c r="AL4" s="31" t="s">
        <v>201</v>
      </c>
      <c r="AM4" s="31" t="s">
        <v>189</v>
      </c>
      <c r="AN4" s="31" t="s">
        <v>202</v>
      </c>
      <c r="AO4" s="31" t="s">
        <v>203</v>
      </c>
      <c r="AP4" s="31" t="s">
        <v>204</v>
      </c>
      <c r="AQ4" s="31" t="s">
        <v>205</v>
      </c>
      <c r="AR4" s="31" t="s">
        <v>206</v>
      </c>
      <c r="AS4" s="31" t="s">
        <v>178</v>
      </c>
      <c r="AT4" s="31" t="s">
        <v>207</v>
      </c>
      <c r="AU4" s="31" t="s">
        <v>45</v>
      </c>
    </row>
    <row r="5" spans="1:47" x14ac:dyDescent="0.25">
      <c r="A5" s="30">
        <v>46085.633357557876</v>
      </c>
      <c r="B5" s="31" t="s">
        <v>61</v>
      </c>
      <c r="C5" s="31" t="s">
        <v>208</v>
      </c>
      <c r="D5" s="31" t="s">
        <v>209</v>
      </c>
      <c r="E5" s="31">
        <v>8</v>
      </c>
      <c r="F5" s="31" t="s">
        <v>210</v>
      </c>
      <c r="G5" s="31" t="s">
        <v>211</v>
      </c>
      <c r="H5" s="31" t="s">
        <v>212</v>
      </c>
      <c r="I5" s="31" t="s">
        <v>185</v>
      </c>
      <c r="J5" s="31" t="s">
        <v>185</v>
      </c>
      <c r="K5" s="31" t="s">
        <v>212</v>
      </c>
      <c r="L5" s="31" t="s">
        <v>213</v>
      </c>
      <c r="M5" s="31" t="s">
        <v>186</v>
      </c>
      <c r="N5" s="31" t="s">
        <v>214</v>
      </c>
      <c r="O5" s="31" t="s">
        <v>184</v>
      </c>
      <c r="P5" s="31" t="s">
        <v>186</v>
      </c>
      <c r="Q5" s="31" t="s">
        <v>186</v>
      </c>
      <c r="R5" s="31" t="s">
        <v>186</v>
      </c>
      <c r="S5" s="31" t="s">
        <v>215</v>
      </c>
      <c r="T5" s="31" t="s">
        <v>216</v>
      </c>
      <c r="U5" s="31" t="s">
        <v>217</v>
      </c>
      <c r="V5" s="31" t="s">
        <v>217</v>
      </c>
      <c r="W5" s="31" t="s">
        <v>216</v>
      </c>
      <c r="X5" s="31" t="s">
        <v>217</v>
      </c>
      <c r="Y5" s="31" t="s">
        <v>217</v>
      </c>
      <c r="Z5" s="31" t="s">
        <v>216</v>
      </c>
      <c r="AA5" s="31" t="s">
        <v>184</v>
      </c>
      <c r="AB5" s="31" t="s">
        <v>185</v>
      </c>
      <c r="AC5" s="31" t="s">
        <v>184</v>
      </c>
      <c r="AD5" s="31" t="s">
        <v>184</v>
      </c>
      <c r="AE5" s="31">
        <v>5</v>
      </c>
      <c r="AF5" s="31">
        <v>4</v>
      </c>
      <c r="AG5" s="31">
        <v>1</v>
      </c>
      <c r="AH5" s="31">
        <v>1</v>
      </c>
      <c r="AI5" s="31">
        <v>4</v>
      </c>
      <c r="AJ5" s="31">
        <v>1</v>
      </c>
      <c r="AK5" s="31" t="s">
        <v>218</v>
      </c>
      <c r="AL5" s="31" t="s">
        <v>219</v>
      </c>
      <c r="AM5" s="31" t="s">
        <v>220</v>
      </c>
      <c r="AN5" s="31" t="s">
        <v>221</v>
      </c>
      <c r="AO5" s="31" t="s">
        <v>222</v>
      </c>
      <c r="AP5" s="31" t="s">
        <v>223</v>
      </c>
      <c r="AQ5" s="31" t="s">
        <v>224</v>
      </c>
      <c r="AR5" s="31" t="s">
        <v>194</v>
      </c>
      <c r="AS5" s="31" t="s">
        <v>225</v>
      </c>
      <c r="AT5" s="31" t="s">
        <v>226</v>
      </c>
      <c r="AU5" s="31" t="s">
        <v>45</v>
      </c>
    </row>
    <row r="6" spans="1:47" x14ac:dyDescent="0.25">
      <c r="A6" s="30">
        <v>46086.389961365741</v>
      </c>
      <c r="B6" s="31" t="s">
        <v>77</v>
      </c>
      <c r="C6" s="31" t="s">
        <v>227</v>
      </c>
      <c r="D6" s="31" t="s">
        <v>228</v>
      </c>
      <c r="E6" s="31">
        <v>60</v>
      </c>
      <c r="F6" s="31" t="s">
        <v>229</v>
      </c>
      <c r="G6" s="31" t="s">
        <v>183</v>
      </c>
      <c r="H6" s="31" t="s">
        <v>213</v>
      </c>
      <c r="I6" s="31" t="s">
        <v>185</v>
      </c>
      <c r="J6" s="31" t="s">
        <v>213</v>
      </c>
      <c r="K6" s="31" t="s">
        <v>185</v>
      </c>
      <c r="L6" s="31" t="s">
        <v>185</v>
      </c>
      <c r="M6" s="31" t="s">
        <v>186</v>
      </c>
      <c r="N6" s="31" t="s">
        <v>186</v>
      </c>
      <c r="O6" s="31" t="s">
        <v>214</v>
      </c>
      <c r="P6" s="31" t="s">
        <v>200</v>
      </c>
      <c r="Q6" s="31" t="s">
        <v>186</v>
      </c>
      <c r="R6" s="31" t="s">
        <v>186</v>
      </c>
      <c r="S6" s="31" t="s">
        <v>217</v>
      </c>
      <c r="T6" s="31" t="s">
        <v>230</v>
      </c>
      <c r="U6" s="31" t="s">
        <v>215</v>
      </c>
      <c r="V6" s="31" t="s">
        <v>217</v>
      </c>
      <c r="W6" s="31" t="s">
        <v>217</v>
      </c>
      <c r="X6" s="31" t="s">
        <v>230</v>
      </c>
      <c r="Y6" s="31" t="s">
        <v>217</v>
      </c>
      <c r="Z6" s="31" t="s">
        <v>217</v>
      </c>
      <c r="AA6" s="31" t="s">
        <v>184</v>
      </c>
      <c r="AB6" s="31" t="s">
        <v>185</v>
      </c>
      <c r="AC6" s="31" t="s">
        <v>214</v>
      </c>
      <c r="AD6" s="31" t="s">
        <v>186</v>
      </c>
      <c r="AE6" s="31">
        <v>4</v>
      </c>
      <c r="AF6" s="31">
        <v>1</v>
      </c>
      <c r="AG6" s="31">
        <v>5</v>
      </c>
      <c r="AH6" s="31">
        <v>4</v>
      </c>
      <c r="AI6" s="31">
        <v>1</v>
      </c>
      <c r="AJ6" s="31">
        <v>3</v>
      </c>
      <c r="AK6" s="31" t="s">
        <v>231</v>
      </c>
      <c r="AL6" s="31" t="s">
        <v>219</v>
      </c>
      <c r="AM6" s="31" t="s">
        <v>220</v>
      </c>
      <c r="AN6" s="31" t="s">
        <v>232</v>
      </c>
      <c r="AO6" s="31" t="s">
        <v>191</v>
      </c>
      <c r="AP6" s="31" t="s">
        <v>192</v>
      </c>
      <c r="AQ6" s="31" t="s">
        <v>233</v>
      </c>
      <c r="AR6" s="31" t="s">
        <v>234</v>
      </c>
      <c r="AS6" s="31" t="s">
        <v>195</v>
      </c>
      <c r="AT6" s="31" t="s">
        <v>235</v>
      </c>
      <c r="AU6" s="31" t="s">
        <v>45</v>
      </c>
    </row>
    <row r="7" spans="1:47" x14ac:dyDescent="0.25">
      <c r="A7" s="30">
        <v>46086.481195219909</v>
      </c>
      <c r="B7" s="31" t="s">
        <v>64</v>
      </c>
      <c r="C7" s="31" t="s">
        <v>236</v>
      </c>
      <c r="D7" s="31" t="s">
        <v>237</v>
      </c>
      <c r="E7" s="31">
        <v>45</v>
      </c>
      <c r="F7" s="31">
        <v>50</v>
      </c>
      <c r="G7" s="31" t="s">
        <v>183</v>
      </c>
      <c r="H7" s="31" t="s">
        <v>185</v>
      </c>
      <c r="I7" s="31" t="s">
        <v>184</v>
      </c>
      <c r="J7" s="31" t="s">
        <v>185</v>
      </c>
      <c r="K7" s="31" t="s">
        <v>213</v>
      </c>
      <c r="L7" s="31" t="s">
        <v>185</v>
      </c>
      <c r="M7" s="31" t="s">
        <v>186</v>
      </c>
      <c r="N7" s="31" t="s">
        <v>186</v>
      </c>
      <c r="O7" s="31" t="s">
        <v>186</v>
      </c>
      <c r="P7" s="31" t="s">
        <v>186</v>
      </c>
      <c r="Q7" s="31" t="s">
        <v>200</v>
      </c>
      <c r="R7" s="31" t="s">
        <v>186</v>
      </c>
      <c r="S7" s="31" t="s">
        <v>217</v>
      </c>
      <c r="T7" s="31" t="s">
        <v>217</v>
      </c>
      <c r="U7" s="31" t="s">
        <v>217</v>
      </c>
      <c r="V7" s="31" t="s">
        <v>217</v>
      </c>
      <c r="W7" s="31" t="s">
        <v>217</v>
      </c>
      <c r="X7" s="31" t="s">
        <v>217</v>
      </c>
      <c r="Y7" s="31" t="s">
        <v>217</v>
      </c>
      <c r="Z7" s="31" t="s">
        <v>217</v>
      </c>
      <c r="AA7" s="31" t="s">
        <v>238</v>
      </c>
      <c r="AB7" s="31" t="s">
        <v>184</v>
      </c>
      <c r="AC7" s="31" t="s">
        <v>186</v>
      </c>
      <c r="AD7" s="31" t="s">
        <v>186</v>
      </c>
      <c r="AE7" s="31">
        <v>3</v>
      </c>
      <c r="AF7" s="31">
        <v>3</v>
      </c>
      <c r="AG7" s="31">
        <v>1</v>
      </c>
      <c r="AH7" s="31">
        <v>5</v>
      </c>
      <c r="AI7" s="31">
        <v>3</v>
      </c>
      <c r="AJ7" s="31">
        <v>3</v>
      </c>
      <c r="AK7" s="31" t="s">
        <v>218</v>
      </c>
      <c r="AL7" s="31" t="s">
        <v>239</v>
      </c>
      <c r="AM7" s="31" t="s">
        <v>240</v>
      </c>
      <c r="AN7" s="31" t="s">
        <v>190</v>
      </c>
      <c r="AO7" s="31" t="s">
        <v>191</v>
      </c>
      <c r="AP7" s="31" t="s">
        <v>204</v>
      </c>
      <c r="AQ7" s="31" t="s">
        <v>241</v>
      </c>
      <c r="AR7" s="31" t="s">
        <v>242</v>
      </c>
      <c r="AS7" s="31" t="s">
        <v>225</v>
      </c>
      <c r="AT7" s="31" t="s">
        <v>226</v>
      </c>
      <c r="AU7" s="31" t="s">
        <v>45</v>
      </c>
    </row>
    <row r="8" spans="1:47" x14ac:dyDescent="0.25">
      <c r="A8" s="30">
        <v>46086.484894652778</v>
      </c>
      <c r="B8" s="31" t="s">
        <v>70</v>
      </c>
      <c r="C8" s="31" t="s">
        <v>243</v>
      </c>
      <c r="D8" s="31" t="s">
        <v>209</v>
      </c>
      <c r="E8" s="31">
        <v>225</v>
      </c>
      <c r="F8" s="31" t="s">
        <v>244</v>
      </c>
      <c r="G8" s="31" t="s">
        <v>183</v>
      </c>
      <c r="H8" s="31" t="s">
        <v>185</v>
      </c>
      <c r="I8" s="31" t="s">
        <v>185</v>
      </c>
      <c r="J8" s="31" t="s">
        <v>184</v>
      </c>
      <c r="K8" s="31" t="s">
        <v>185</v>
      </c>
      <c r="L8" s="31" t="s">
        <v>213</v>
      </c>
      <c r="M8" s="31" t="s">
        <v>186</v>
      </c>
      <c r="N8" s="31" t="s">
        <v>186</v>
      </c>
      <c r="O8" s="31" t="s">
        <v>214</v>
      </c>
      <c r="P8" s="31" t="s">
        <v>200</v>
      </c>
      <c r="Q8" s="31" t="s">
        <v>200</v>
      </c>
      <c r="R8" s="31" t="s">
        <v>186</v>
      </c>
      <c r="S8" s="31" t="s">
        <v>217</v>
      </c>
      <c r="T8" s="31" t="s">
        <v>217</v>
      </c>
      <c r="U8" s="31" t="s">
        <v>217</v>
      </c>
      <c r="V8" s="31" t="s">
        <v>217</v>
      </c>
      <c r="W8" s="31" t="s">
        <v>217</v>
      </c>
      <c r="X8" s="31" t="s">
        <v>230</v>
      </c>
      <c r="Y8" s="31" t="s">
        <v>230</v>
      </c>
      <c r="Z8" s="31" t="s">
        <v>230</v>
      </c>
      <c r="AA8" s="31" t="s">
        <v>245</v>
      </c>
      <c r="AB8" s="31" t="s">
        <v>238</v>
      </c>
      <c r="AC8" s="31" t="s">
        <v>214</v>
      </c>
      <c r="AD8" s="31" t="s">
        <v>214</v>
      </c>
      <c r="AE8" s="31">
        <v>3</v>
      </c>
      <c r="AF8" s="31">
        <v>3</v>
      </c>
      <c r="AG8" s="31">
        <v>3</v>
      </c>
      <c r="AH8" s="31">
        <v>4</v>
      </c>
      <c r="AI8" s="31">
        <v>3</v>
      </c>
      <c r="AJ8" s="31">
        <v>4</v>
      </c>
      <c r="AK8" s="31" t="s">
        <v>246</v>
      </c>
      <c r="AL8" s="31" t="s">
        <v>219</v>
      </c>
      <c r="AM8" s="31" t="s">
        <v>240</v>
      </c>
      <c r="AN8" s="31" t="s">
        <v>221</v>
      </c>
      <c r="AO8" s="31" t="s">
        <v>222</v>
      </c>
      <c r="AP8" s="31" t="s">
        <v>192</v>
      </c>
      <c r="AQ8" s="31" t="s">
        <v>247</v>
      </c>
      <c r="AR8" s="31" t="s">
        <v>248</v>
      </c>
      <c r="AS8" s="31" t="s">
        <v>195</v>
      </c>
      <c r="AT8" s="31" t="s">
        <v>249</v>
      </c>
      <c r="AU8" s="31" t="s">
        <v>45</v>
      </c>
    </row>
    <row r="9" spans="1:47" x14ac:dyDescent="0.25">
      <c r="A9" s="30">
        <v>46086.489257881942</v>
      </c>
      <c r="B9" s="31" t="s">
        <v>208</v>
      </c>
      <c r="C9" s="31" t="s">
        <v>250</v>
      </c>
      <c r="D9" s="31" t="s">
        <v>209</v>
      </c>
      <c r="E9" s="31">
        <v>20</v>
      </c>
      <c r="F9" s="31" t="s">
        <v>251</v>
      </c>
      <c r="G9" s="31" t="s">
        <v>199</v>
      </c>
      <c r="H9" s="31" t="s">
        <v>212</v>
      </c>
      <c r="I9" s="31" t="s">
        <v>213</v>
      </c>
      <c r="J9" s="31" t="s">
        <v>213</v>
      </c>
      <c r="K9" s="31" t="s">
        <v>213</v>
      </c>
      <c r="L9" s="31" t="s">
        <v>212</v>
      </c>
      <c r="M9" s="31" t="s">
        <v>186</v>
      </c>
      <c r="N9" s="31" t="s">
        <v>200</v>
      </c>
      <c r="O9" s="31" t="s">
        <v>184</v>
      </c>
      <c r="P9" s="31" t="s">
        <v>214</v>
      </c>
      <c r="Q9" s="31" t="s">
        <v>186</v>
      </c>
      <c r="R9" s="31" t="s">
        <v>186</v>
      </c>
      <c r="S9" s="31" t="s">
        <v>217</v>
      </c>
      <c r="T9" s="31" t="s">
        <v>217</v>
      </c>
      <c r="U9" s="31" t="s">
        <v>217</v>
      </c>
      <c r="V9" s="31" t="s">
        <v>217</v>
      </c>
      <c r="W9" s="31" t="s">
        <v>215</v>
      </c>
      <c r="X9" s="31" t="s">
        <v>217</v>
      </c>
      <c r="Y9" s="31" t="s">
        <v>230</v>
      </c>
      <c r="Z9" s="31" t="s">
        <v>217</v>
      </c>
      <c r="AA9" s="31" t="s">
        <v>184</v>
      </c>
      <c r="AB9" s="31" t="s">
        <v>185</v>
      </c>
      <c r="AC9" s="31" t="s">
        <v>214</v>
      </c>
      <c r="AD9" s="31" t="s">
        <v>186</v>
      </c>
      <c r="AE9" s="31">
        <v>5</v>
      </c>
      <c r="AF9" s="31">
        <v>1</v>
      </c>
      <c r="AG9" s="31">
        <v>5</v>
      </c>
      <c r="AH9" s="31">
        <v>2</v>
      </c>
      <c r="AI9" s="31">
        <v>2</v>
      </c>
      <c r="AJ9" s="31">
        <v>2</v>
      </c>
      <c r="AK9" s="31" t="s">
        <v>187</v>
      </c>
      <c r="AL9" s="31" t="s">
        <v>252</v>
      </c>
      <c r="AM9" s="31" t="s">
        <v>220</v>
      </c>
      <c r="AN9" s="31" t="s">
        <v>202</v>
      </c>
      <c r="AO9" s="31" t="s">
        <v>191</v>
      </c>
      <c r="AP9" s="31" t="s">
        <v>223</v>
      </c>
      <c r="AQ9" s="31" t="s">
        <v>253</v>
      </c>
      <c r="AR9" s="31" t="s">
        <v>254</v>
      </c>
      <c r="AS9" s="31" t="s">
        <v>225</v>
      </c>
      <c r="AT9" s="31" t="s">
        <v>255</v>
      </c>
      <c r="AU9" s="31" t="s">
        <v>45</v>
      </c>
    </row>
    <row r="10" spans="1:47" x14ac:dyDescent="0.25">
      <c r="A10" s="30">
        <v>46086.572130532411</v>
      </c>
      <c r="B10" s="31" t="s">
        <v>64</v>
      </c>
      <c r="C10" s="31" t="s">
        <v>256</v>
      </c>
      <c r="D10" s="31" t="s">
        <v>228</v>
      </c>
      <c r="E10" s="31">
        <v>14</v>
      </c>
      <c r="F10" s="31" t="s">
        <v>257</v>
      </c>
      <c r="G10" s="31" t="s">
        <v>183</v>
      </c>
      <c r="H10" s="31" t="s">
        <v>213</v>
      </c>
      <c r="I10" s="31" t="s">
        <v>212</v>
      </c>
      <c r="J10" s="31" t="s">
        <v>185</v>
      </c>
      <c r="K10" s="31" t="s">
        <v>185</v>
      </c>
      <c r="L10" s="31" t="s">
        <v>185</v>
      </c>
      <c r="M10" s="31" t="s">
        <v>186</v>
      </c>
      <c r="N10" s="31" t="s">
        <v>186</v>
      </c>
      <c r="O10" s="31" t="s">
        <v>214</v>
      </c>
      <c r="P10" s="31" t="s">
        <v>200</v>
      </c>
      <c r="Q10" s="31" t="s">
        <v>186</v>
      </c>
      <c r="R10" s="31" t="s">
        <v>186</v>
      </c>
      <c r="S10" s="31" t="s">
        <v>217</v>
      </c>
      <c r="T10" s="31" t="s">
        <v>217</v>
      </c>
      <c r="U10" s="31" t="s">
        <v>217</v>
      </c>
      <c r="V10" s="31" t="s">
        <v>217</v>
      </c>
      <c r="W10" s="31" t="s">
        <v>217</v>
      </c>
      <c r="X10" s="31" t="s">
        <v>217</v>
      </c>
      <c r="Y10" s="31" t="s">
        <v>215</v>
      </c>
      <c r="Z10" s="31" t="s">
        <v>217</v>
      </c>
      <c r="AA10" s="31" t="s">
        <v>184</v>
      </c>
      <c r="AB10" s="31" t="s">
        <v>185</v>
      </c>
      <c r="AC10" s="31" t="s">
        <v>186</v>
      </c>
      <c r="AD10" s="31" t="s">
        <v>186</v>
      </c>
      <c r="AE10" s="31">
        <v>2</v>
      </c>
      <c r="AF10" s="31">
        <v>2</v>
      </c>
      <c r="AG10" s="31">
        <v>2</v>
      </c>
      <c r="AH10" s="31">
        <v>4</v>
      </c>
      <c r="AI10" s="31">
        <v>2</v>
      </c>
      <c r="AJ10" s="31">
        <v>2</v>
      </c>
      <c r="AK10" s="31" t="s">
        <v>246</v>
      </c>
      <c r="AL10" s="31" t="s">
        <v>258</v>
      </c>
      <c r="AM10" s="31" t="s">
        <v>240</v>
      </c>
      <c r="AN10" s="31" t="s">
        <v>190</v>
      </c>
      <c r="AO10" s="31" t="s">
        <v>191</v>
      </c>
      <c r="AP10" s="31" t="s">
        <v>192</v>
      </c>
      <c r="AQ10" s="31" t="s">
        <v>259</v>
      </c>
      <c r="AR10" s="31" t="s">
        <v>254</v>
      </c>
      <c r="AS10" s="31" t="s">
        <v>195</v>
      </c>
      <c r="AT10" s="31" t="s">
        <v>260</v>
      </c>
      <c r="AU10" s="31" t="s">
        <v>45</v>
      </c>
    </row>
    <row r="11" spans="1:47" x14ac:dyDescent="0.25">
      <c r="A11" s="30">
        <v>46086.581594131945</v>
      </c>
      <c r="B11" s="31" t="s">
        <v>64</v>
      </c>
      <c r="C11" s="31" t="s">
        <v>261</v>
      </c>
      <c r="D11" s="31" t="s">
        <v>237</v>
      </c>
      <c r="E11" s="31">
        <v>15</v>
      </c>
      <c r="F11" s="31" t="s">
        <v>262</v>
      </c>
      <c r="G11" s="31" t="s">
        <v>199</v>
      </c>
      <c r="H11" s="31" t="s">
        <v>213</v>
      </c>
      <c r="I11" s="31" t="s">
        <v>212</v>
      </c>
      <c r="J11" s="31" t="s">
        <v>185</v>
      </c>
      <c r="K11" s="31" t="s">
        <v>213</v>
      </c>
      <c r="L11" s="31" t="s">
        <v>185</v>
      </c>
      <c r="M11" s="31" t="s">
        <v>186</v>
      </c>
      <c r="N11" s="31" t="s">
        <v>214</v>
      </c>
      <c r="O11" s="31" t="s">
        <v>214</v>
      </c>
      <c r="P11" s="31" t="s">
        <v>214</v>
      </c>
      <c r="Q11" s="31" t="s">
        <v>186</v>
      </c>
      <c r="R11" s="31" t="s">
        <v>186</v>
      </c>
      <c r="S11" s="31" t="s">
        <v>217</v>
      </c>
      <c r="T11" s="31" t="s">
        <v>217</v>
      </c>
      <c r="U11" s="31" t="s">
        <v>217</v>
      </c>
      <c r="V11" s="31" t="s">
        <v>217</v>
      </c>
      <c r="W11" s="31" t="s">
        <v>230</v>
      </c>
      <c r="X11" s="31" t="s">
        <v>217</v>
      </c>
      <c r="Y11" s="31" t="s">
        <v>216</v>
      </c>
      <c r="Z11" s="31" t="s">
        <v>230</v>
      </c>
      <c r="AA11" s="31" t="s">
        <v>185</v>
      </c>
      <c r="AB11" s="31" t="s">
        <v>184</v>
      </c>
      <c r="AC11" s="31" t="s">
        <v>214</v>
      </c>
      <c r="AD11" s="31" t="s">
        <v>214</v>
      </c>
      <c r="AE11" s="31">
        <v>5</v>
      </c>
      <c r="AF11" s="31">
        <v>3</v>
      </c>
      <c r="AG11" s="31">
        <v>1</v>
      </c>
      <c r="AH11" s="31">
        <v>5</v>
      </c>
      <c r="AI11" s="31">
        <v>5</v>
      </c>
      <c r="AJ11" s="31">
        <v>3</v>
      </c>
      <c r="AK11" s="31" t="s">
        <v>187</v>
      </c>
      <c r="AL11" s="31" t="s">
        <v>258</v>
      </c>
      <c r="AM11" s="31" t="s">
        <v>240</v>
      </c>
      <c r="AN11" s="31" t="s">
        <v>221</v>
      </c>
      <c r="AO11" s="31" t="s">
        <v>222</v>
      </c>
      <c r="AP11" s="31" t="s">
        <v>175</v>
      </c>
      <c r="AQ11" s="31" t="s">
        <v>263</v>
      </c>
      <c r="AR11" s="31" t="s">
        <v>264</v>
      </c>
      <c r="AS11" s="31" t="s">
        <v>265</v>
      </c>
      <c r="AT11" s="31" t="s">
        <v>266</v>
      </c>
      <c r="AU11" s="31" t="s">
        <v>45</v>
      </c>
    </row>
    <row r="12" spans="1:47" x14ac:dyDescent="0.25">
      <c r="A12" s="30">
        <v>46086.590847881947</v>
      </c>
      <c r="B12" s="31" t="s">
        <v>61</v>
      </c>
      <c r="C12" s="31" t="s">
        <v>267</v>
      </c>
      <c r="D12" s="31" t="s">
        <v>228</v>
      </c>
      <c r="E12" s="31">
        <v>150</v>
      </c>
      <c r="F12" s="31" t="s">
        <v>268</v>
      </c>
      <c r="G12" s="31" t="s">
        <v>183</v>
      </c>
      <c r="H12" s="31" t="s">
        <v>212</v>
      </c>
      <c r="I12" s="31" t="s">
        <v>185</v>
      </c>
      <c r="J12" s="31" t="s">
        <v>213</v>
      </c>
      <c r="K12" s="31" t="s">
        <v>213</v>
      </c>
      <c r="L12" s="31" t="s">
        <v>213</v>
      </c>
      <c r="M12" s="31" t="s">
        <v>186</v>
      </c>
      <c r="N12" s="31" t="s">
        <v>200</v>
      </c>
      <c r="O12" s="31" t="s">
        <v>184</v>
      </c>
      <c r="P12" s="31" t="s">
        <v>186</v>
      </c>
      <c r="Q12" s="31" t="s">
        <v>186</v>
      </c>
      <c r="R12" s="31" t="s">
        <v>186</v>
      </c>
      <c r="S12" s="31" t="s">
        <v>217</v>
      </c>
      <c r="T12" s="31" t="s">
        <v>230</v>
      </c>
      <c r="U12" s="31" t="s">
        <v>217</v>
      </c>
      <c r="V12" s="31" t="s">
        <v>215</v>
      </c>
      <c r="W12" s="31" t="s">
        <v>215</v>
      </c>
      <c r="X12" s="31" t="s">
        <v>217</v>
      </c>
      <c r="Y12" s="31" t="s">
        <v>215</v>
      </c>
      <c r="Z12" s="31" t="s">
        <v>230</v>
      </c>
      <c r="AA12" s="31" t="s">
        <v>184</v>
      </c>
      <c r="AB12" s="31" t="s">
        <v>185</v>
      </c>
      <c r="AC12" s="31" t="s">
        <v>200</v>
      </c>
      <c r="AD12" s="31" t="s">
        <v>214</v>
      </c>
      <c r="AE12" s="31">
        <v>3</v>
      </c>
      <c r="AF12" s="31">
        <v>5</v>
      </c>
      <c r="AG12" s="31">
        <v>1</v>
      </c>
      <c r="AH12" s="31">
        <v>3</v>
      </c>
      <c r="AI12" s="31">
        <v>2</v>
      </c>
      <c r="AJ12" s="31">
        <v>4</v>
      </c>
      <c r="AK12" s="31" t="s">
        <v>218</v>
      </c>
      <c r="AL12" s="31" t="s">
        <v>269</v>
      </c>
      <c r="AM12" s="31" t="s">
        <v>220</v>
      </c>
      <c r="AN12" s="31" t="s">
        <v>174</v>
      </c>
      <c r="AO12" s="31" t="s">
        <v>222</v>
      </c>
      <c r="AP12" s="31" t="s">
        <v>192</v>
      </c>
      <c r="AQ12" s="31" t="s">
        <v>270</v>
      </c>
      <c r="AR12" s="31" t="s">
        <v>271</v>
      </c>
      <c r="AS12" s="31" t="s">
        <v>195</v>
      </c>
      <c r="AT12" s="31" t="s">
        <v>272</v>
      </c>
      <c r="AU12" s="31" t="s">
        <v>45</v>
      </c>
    </row>
    <row r="13" spans="1:47" x14ac:dyDescent="0.25">
      <c r="A13" s="30">
        <v>46086.728652523147</v>
      </c>
      <c r="B13" s="31" t="s">
        <v>70</v>
      </c>
      <c r="C13" s="31" t="s">
        <v>70</v>
      </c>
      <c r="D13" s="31" t="s">
        <v>273</v>
      </c>
      <c r="E13" s="31">
        <v>145</v>
      </c>
      <c r="F13" s="31" t="s">
        <v>274</v>
      </c>
      <c r="G13" s="31" t="s">
        <v>183</v>
      </c>
      <c r="H13" s="31" t="s">
        <v>185</v>
      </c>
      <c r="I13" s="31" t="s">
        <v>185</v>
      </c>
      <c r="J13" s="31" t="s">
        <v>184</v>
      </c>
      <c r="K13" s="31" t="s">
        <v>185</v>
      </c>
      <c r="L13" s="31" t="s">
        <v>185</v>
      </c>
      <c r="M13" s="31" t="s">
        <v>186</v>
      </c>
      <c r="N13" s="31" t="s">
        <v>186</v>
      </c>
      <c r="O13" s="31" t="s">
        <v>214</v>
      </c>
      <c r="P13" s="31" t="s">
        <v>214</v>
      </c>
      <c r="Q13" s="31" t="s">
        <v>200</v>
      </c>
      <c r="R13" s="31" t="s">
        <v>200</v>
      </c>
      <c r="S13" s="31" t="s">
        <v>217</v>
      </c>
      <c r="T13" s="31" t="s">
        <v>230</v>
      </c>
      <c r="U13" s="31" t="s">
        <v>230</v>
      </c>
      <c r="V13" s="31" t="s">
        <v>215</v>
      </c>
      <c r="W13" s="31" t="s">
        <v>215</v>
      </c>
      <c r="X13" s="31" t="s">
        <v>275</v>
      </c>
      <c r="Y13" s="31" t="s">
        <v>275</v>
      </c>
      <c r="Z13" s="31" t="s">
        <v>230</v>
      </c>
      <c r="AA13" s="31" t="s">
        <v>184</v>
      </c>
      <c r="AB13" s="31" t="s">
        <v>185</v>
      </c>
      <c r="AC13" s="31" t="s">
        <v>214</v>
      </c>
      <c r="AD13" s="31" t="s">
        <v>214</v>
      </c>
      <c r="AE13" s="31">
        <v>4</v>
      </c>
      <c r="AF13" s="31">
        <v>5</v>
      </c>
      <c r="AG13" s="31">
        <v>3</v>
      </c>
      <c r="AH13" s="31">
        <v>5</v>
      </c>
      <c r="AI13" s="31">
        <v>3</v>
      </c>
      <c r="AJ13" s="31">
        <v>3</v>
      </c>
      <c r="AK13" s="31" t="s">
        <v>276</v>
      </c>
      <c r="AL13" s="31" t="s">
        <v>258</v>
      </c>
      <c r="AM13" s="31" t="s">
        <v>277</v>
      </c>
      <c r="AN13" s="31" t="s">
        <v>190</v>
      </c>
      <c r="AO13" s="31" t="s">
        <v>191</v>
      </c>
      <c r="AP13" s="31" t="s">
        <v>192</v>
      </c>
      <c r="AQ13" s="31" t="s">
        <v>233</v>
      </c>
      <c r="AR13" s="31" t="s">
        <v>278</v>
      </c>
      <c r="AS13" s="31" t="s">
        <v>225</v>
      </c>
      <c r="AT13" s="31" t="s">
        <v>279</v>
      </c>
      <c r="AU13" s="31" t="s">
        <v>45</v>
      </c>
    </row>
    <row r="14" spans="1:47" x14ac:dyDescent="0.25">
      <c r="A14" s="30">
        <v>46094.587364432868</v>
      </c>
      <c r="B14" s="31" t="s">
        <v>64</v>
      </c>
      <c r="C14" s="31" t="s">
        <v>280</v>
      </c>
      <c r="D14" s="31" t="s">
        <v>209</v>
      </c>
      <c r="E14" s="31">
        <v>5</v>
      </c>
      <c r="F14" s="31" t="s">
        <v>281</v>
      </c>
      <c r="G14" s="31" t="s">
        <v>183</v>
      </c>
      <c r="H14" s="31" t="s">
        <v>213</v>
      </c>
      <c r="I14" s="31" t="s">
        <v>184</v>
      </c>
      <c r="J14" s="31" t="s">
        <v>185</v>
      </c>
      <c r="K14" s="31" t="s">
        <v>185</v>
      </c>
      <c r="L14" s="31" t="s">
        <v>185</v>
      </c>
      <c r="M14" s="31" t="s">
        <v>186</v>
      </c>
      <c r="N14" s="31" t="s">
        <v>186</v>
      </c>
      <c r="O14" s="31" t="s">
        <v>186</v>
      </c>
      <c r="P14" s="31" t="s">
        <v>214</v>
      </c>
      <c r="Q14" s="31" t="s">
        <v>184</v>
      </c>
      <c r="R14" s="31" t="s">
        <v>186</v>
      </c>
      <c r="S14" s="31" t="s">
        <v>217</v>
      </c>
      <c r="T14" s="31" t="s">
        <v>217</v>
      </c>
      <c r="U14" s="31" t="s">
        <v>217</v>
      </c>
      <c r="V14" s="31" t="s">
        <v>217</v>
      </c>
      <c r="W14" s="31" t="s">
        <v>217</v>
      </c>
      <c r="X14" s="31" t="s">
        <v>230</v>
      </c>
      <c r="Y14" s="31" t="s">
        <v>230</v>
      </c>
      <c r="Z14" s="31" t="s">
        <v>217</v>
      </c>
      <c r="AA14" s="31" t="s">
        <v>184</v>
      </c>
      <c r="AB14" s="31" t="s">
        <v>185</v>
      </c>
      <c r="AC14" s="31" t="s">
        <v>186</v>
      </c>
      <c r="AD14" s="31" t="s">
        <v>186</v>
      </c>
      <c r="AE14" s="31">
        <v>4</v>
      </c>
      <c r="AF14" s="31">
        <v>1</v>
      </c>
      <c r="AG14" s="31">
        <v>2</v>
      </c>
      <c r="AH14" s="31">
        <v>5</v>
      </c>
      <c r="AI14" s="31">
        <v>2</v>
      </c>
      <c r="AJ14" s="31">
        <v>4</v>
      </c>
      <c r="AK14" s="31" t="s">
        <v>246</v>
      </c>
      <c r="AL14" s="31" t="s">
        <v>258</v>
      </c>
      <c r="AM14" s="31" t="s">
        <v>282</v>
      </c>
      <c r="AN14" s="31" t="s">
        <v>202</v>
      </c>
      <c r="AO14" s="31" t="s">
        <v>283</v>
      </c>
      <c r="AP14" s="31" t="s">
        <v>192</v>
      </c>
      <c r="AQ14" s="31" t="s">
        <v>284</v>
      </c>
      <c r="AR14" s="31" t="s">
        <v>285</v>
      </c>
      <c r="AS14" s="31" t="s">
        <v>195</v>
      </c>
      <c r="AT14" s="31" t="s">
        <v>226</v>
      </c>
      <c r="AU14" s="31" t="s">
        <v>45</v>
      </c>
    </row>
    <row r="15" spans="1:47" x14ac:dyDescent="0.25">
      <c r="A15" s="30">
        <v>46099.68576206018</v>
      </c>
      <c r="B15" s="31" t="s">
        <v>77</v>
      </c>
      <c r="C15" s="31" t="s">
        <v>286</v>
      </c>
      <c r="D15" s="31" t="s">
        <v>209</v>
      </c>
      <c r="E15" s="31">
        <v>64</v>
      </c>
      <c r="F15" s="31" t="s">
        <v>287</v>
      </c>
      <c r="G15" s="31" t="s">
        <v>183</v>
      </c>
      <c r="H15" s="31" t="s">
        <v>213</v>
      </c>
      <c r="I15" s="31" t="s">
        <v>185</v>
      </c>
      <c r="J15" s="31" t="s">
        <v>185</v>
      </c>
      <c r="K15" s="31" t="s">
        <v>213</v>
      </c>
      <c r="L15" s="31" t="s">
        <v>212</v>
      </c>
      <c r="M15" s="31" t="s">
        <v>186</v>
      </c>
      <c r="N15" s="31" t="s">
        <v>186</v>
      </c>
      <c r="O15" s="31" t="s">
        <v>200</v>
      </c>
      <c r="P15" s="31" t="s">
        <v>186</v>
      </c>
      <c r="Q15" s="31" t="s">
        <v>186</v>
      </c>
      <c r="R15" s="31" t="s">
        <v>186</v>
      </c>
      <c r="S15" s="31" t="s">
        <v>217</v>
      </c>
      <c r="T15" s="31" t="s">
        <v>217</v>
      </c>
      <c r="U15" s="31" t="s">
        <v>217</v>
      </c>
      <c r="V15" s="31" t="s">
        <v>217</v>
      </c>
      <c r="W15" s="31" t="s">
        <v>230</v>
      </c>
      <c r="X15" s="31" t="s">
        <v>230</v>
      </c>
      <c r="Y15" s="31" t="s">
        <v>215</v>
      </c>
      <c r="Z15" s="31" t="s">
        <v>217</v>
      </c>
      <c r="AA15" s="31" t="s">
        <v>184</v>
      </c>
      <c r="AB15" s="31" t="s">
        <v>185</v>
      </c>
      <c r="AC15" s="31" t="s">
        <v>214</v>
      </c>
      <c r="AD15" s="31" t="s">
        <v>200</v>
      </c>
      <c r="AE15" s="31">
        <v>4</v>
      </c>
      <c r="AF15" s="31">
        <v>2</v>
      </c>
      <c r="AG15" s="31">
        <v>2</v>
      </c>
      <c r="AH15" s="31">
        <v>4</v>
      </c>
      <c r="AI15" s="31">
        <v>2</v>
      </c>
      <c r="AJ15" s="31">
        <v>4</v>
      </c>
      <c r="AK15" s="31" t="s">
        <v>172</v>
      </c>
      <c r="AL15" s="31" t="s">
        <v>288</v>
      </c>
      <c r="AM15" s="31" t="s">
        <v>282</v>
      </c>
      <c r="AN15" s="31" t="s">
        <v>202</v>
      </c>
      <c r="AO15" s="31" t="s">
        <v>203</v>
      </c>
      <c r="AP15" s="31" t="s">
        <v>192</v>
      </c>
      <c r="AQ15" s="31" t="s">
        <v>233</v>
      </c>
      <c r="AR15" s="31" t="s">
        <v>289</v>
      </c>
      <c r="AS15" s="31" t="s">
        <v>195</v>
      </c>
      <c r="AT15" s="31" t="s">
        <v>226</v>
      </c>
      <c r="AU15" s="31" t="s">
        <v>45</v>
      </c>
    </row>
    <row r="16" spans="1:47" x14ac:dyDescent="0.25">
      <c r="A16" s="30">
        <v>46122.512028020836</v>
      </c>
      <c r="B16" s="31" t="s">
        <v>55</v>
      </c>
      <c r="C16" s="31" t="s">
        <v>55</v>
      </c>
      <c r="D16" s="31" t="s">
        <v>237</v>
      </c>
      <c r="E16" s="31">
        <v>8</v>
      </c>
      <c r="F16" s="31">
        <v>2500</v>
      </c>
      <c r="G16" s="31" t="s">
        <v>183</v>
      </c>
      <c r="H16" s="31" t="s">
        <v>185</v>
      </c>
      <c r="I16" s="31" t="s">
        <v>185</v>
      </c>
      <c r="J16" s="31" t="s">
        <v>185</v>
      </c>
      <c r="K16" s="31" t="s">
        <v>185</v>
      </c>
      <c r="L16" s="31" t="s">
        <v>184</v>
      </c>
      <c r="M16" s="31" t="s">
        <v>186</v>
      </c>
      <c r="N16" s="31" t="s">
        <v>186</v>
      </c>
      <c r="O16" s="31" t="s">
        <v>184</v>
      </c>
      <c r="P16" s="31" t="s">
        <v>186</v>
      </c>
      <c r="Q16" s="31" t="s">
        <v>186</v>
      </c>
      <c r="R16" s="31" t="s">
        <v>186</v>
      </c>
      <c r="S16" s="31" t="s">
        <v>217</v>
      </c>
      <c r="T16" s="31" t="s">
        <v>217</v>
      </c>
      <c r="U16" s="31" t="s">
        <v>217</v>
      </c>
      <c r="V16" s="31" t="s">
        <v>217</v>
      </c>
      <c r="W16" s="31" t="s">
        <v>217</v>
      </c>
      <c r="X16" s="31" t="s">
        <v>217</v>
      </c>
      <c r="Y16" s="31" t="s">
        <v>217</v>
      </c>
      <c r="Z16" s="31" t="s">
        <v>217</v>
      </c>
      <c r="AA16" s="31" t="s">
        <v>184</v>
      </c>
      <c r="AB16" s="31" t="s">
        <v>185</v>
      </c>
      <c r="AC16" s="31" t="s">
        <v>214</v>
      </c>
      <c r="AD16" s="31" t="s">
        <v>186</v>
      </c>
      <c r="AE16" s="31">
        <v>5</v>
      </c>
      <c r="AF16" s="31">
        <v>1</v>
      </c>
      <c r="AG16" s="31">
        <v>2</v>
      </c>
      <c r="AH16" s="31">
        <v>5</v>
      </c>
      <c r="AI16" s="31">
        <v>2</v>
      </c>
      <c r="AJ16" s="31">
        <v>3</v>
      </c>
      <c r="AK16" s="31" t="s">
        <v>187</v>
      </c>
      <c r="AL16" s="31" t="s">
        <v>290</v>
      </c>
      <c r="AM16" s="31" t="s">
        <v>240</v>
      </c>
      <c r="AN16" s="31" t="s">
        <v>221</v>
      </c>
      <c r="AO16" s="31" t="s">
        <v>291</v>
      </c>
      <c r="AP16" s="31" t="s">
        <v>192</v>
      </c>
      <c r="AQ16" s="31" t="s">
        <v>233</v>
      </c>
      <c r="AR16" s="31" t="s">
        <v>292</v>
      </c>
      <c r="AS16" s="31" t="s">
        <v>225</v>
      </c>
      <c r="AT16" s="31" t="s">
        <v>293</v>
      </c>
      <c r="AU16" s="31" t="s">
        <v>45</v>
      </c>
    </row>
    <row r="17" spans="1:47" x14ac:dyDescent="0.25">
      <c r="A17" s="30">
        <v>46189.517532546291</v>
      </c>
      <c r="B17" s="31" t="s">
        <v>39</v>
      </c>
      <c r="C17" s="31" t="s">
        <v>294</v>
      </c>
      <c r="D17" s="31" t="s">
        <v>237</v>
      </c>
      <c r="E17" s="31">
        <v>12</v>
      </c>
      <c r="F17" s="31" t="s">
        <v>295</v>
      </c>
      <c r="G17" s="31" t="s">
        <v>183</v>
      </c>
      <c r="H17" s="31" t="s">
        <v>185</v>
      </c>
      <c r="I17" s="31" t="s">
        <v>212</v>
      </c>
      <c r="J17" s="31" t="s">
        <v>185</v>
      </c>
      <c r="K17" s="31" t="s">
        <v>185</v>
      </c>
      <c r="L17" s="31" t="s">
        <v>185</v>
      </c>
      <c r="M17" s="31" t="s">
        <v>186</v>
      </c>
      <c r="N17" s="31" t="s">
        <v>186</v>
      </c>
      <c r="O17" s="31" t="s">
        <v>186</v>
      </c>
      <c r="P17" s="31" t="s">
        <v>214</v>
      </c>
      <c r="Q17" s="31" t="s">
        <v>184</v>
      </c>
      <c r="R17" s="31" t="s">
        <v>184</v>
      </c>
      <c r="S17" s="31" t="s">
        <v>217</v>
      </c>
      <c r="T17" s="31" t="s">
        <v>215</v>
      </c>
      <c r="U17" s="31" t="s">
        <v>215</v>
      </c>
      <c r="V17" s="31" t="s">
        <v>215</v>
      </c>
      <c r="W17" s="31" t="s">
        <v>216</v>
      </c>
      <c r="X17" s="31" t="s">
        <v>275</v>
      </c>
      <c r="Y17" s="31" t="s">
        <v>216</v>
      </c>
      <c r="Z17" s="31" t="s">
        <v>230</v>
      </c>
      <c r="AA17" s="31" t="s">
        <v>184</v>
      </c>
      <c r="AB17" s="31" t="s">
        <v>238</v>
      </c>
      <c r="AC17" s="31" t="s">
        <v>186</v>
      </c>
      <c r="AD17" s="31" t="s">
        <v>186</v>
      </c>
      <c r="AE17" s="31">
        <v>4</v>
      </c>
      <c r="AF17" s="31">
        <v>1</v>
      </c>
      <c r="AG17" s="31">
        <v>1</v>
      </c>
      <c r="AH17" s="31">
        <v>5</v>
      </c>
      <c r="AI17" s="31">
        <v>4</v>
      </c>
      <c r="AJ17" s="31">
        <v>3</v>
      </c>
      <c r="AK17" s="31" t="s">
        <v>246</v>
      </c>
      <c r="AL17" s="31" t="s">
        <v>258</v>
      </c>
      <c r="AM17" s="31" t="s">
        <v>240</v>
      </c>
      <c r="AN17" s="31" t="s">
        <v>202</v>
      </c>
      <c r="AO17" s="31" t="s">
        <v>191</v>
      </c>
      <c r="AP17" s="31" t="s">
        <v>192</v>
      </c>
      <c r="AQ17" s="31" t="s">
        <v>284</v>
      </c>
      <c r="AR17" s="31" t="s">
        <v>242</v>
      </c>
      <c r="AS17" s="31" t="s">
        <v>296</v>
      </c>
      <c r="AT17" s="31" t="s">
        <v>297</v>
      </c>
      <c r="AU17" s="31" t="s">
        <v>45</v>
      </c>
    </row>
    <row r="18" spans="1:47" x14ac:dyDescent="0.25">
      <c r="A18" s="30">
        <v>46203.61120417824</v>
      </c>
      <c r="B18" s="31" t="s">
        <v>61</v>
      </c>
      <c r="C18" s="31" t="s">
        <v>298</v>
      </c>
      <c r="D18" s="31" t="s">
        <v>237</v>
      </c>
      <c r="E18" s="31">
        <v>52</v>
      </c>
      <c r="F18" s="31" t="s">
        <v>299</v>
      </c>
      <c r="G18" s="31" t="s">
        <v>183</v>
      </c>
      <c r="H18" s="31" t="s">
        <v>212</v>
      </c>
      <c r="I18" s="31" t="s">
        <v>212</v>
      </c>
      <c r="J18" s="31" t="s">
        <v>185</v>
      </c>
      <c r="K18" s="31" t="s">
        <v>213</v>
      </c>
      <c r="L18" s="31" t="s">
        <v>213</v>
      </c>
      <c r="M18" s="31" t="s">
        <v>186</v>
      </c>
      <c r="N18" s="31" t="s">
        <v>186</v>
      </c>
      <c r="O18" s="31" t="s">
        <v>200</v>
      </c>
      <c r="P18" s="31" t="s">
        <v>214</v>
      </c>
      <c r="Q18" s="31" t="s">
        <v>186</v>
      </c>
      <c r="R18" s="31" t="s">
        <v>186</v>
      </c>
      <c r="S18" s="31" t="s">
        <v>215</v>
      </c>
      <c r="T18" s="31" t="s">
        <v>215</v>
      </c>
      <c r="U18" s="31" t="s">
        <v>216</v>
      </c>
      <c r="V18" s="31" t="s">
        <v>230</v>
      </c>
      <c r="W18" s="31" t="s">
        <v>216</v>
      </c>
      <c r="X18" s="31" t="s">
        <v>215</v>
      </c>
      <c r="Y18" s="31" t="s">
        <v>275</v>
      </c>
      <c r="Z18" s="31" t="s">
        <v>215</v>
      </c>
      <c r="AA18" s="31" t="s">
        <v>184</v>
      </c>
      <c r="AB18" s="31" t="s">
        <v>238</v>
      </c>
      <c r="AC18" s="31" t="s">
        <v>186</v>
      </c>
      <c r="AD18" s="31" t="s">
        <v>186</v>
      </c>
      <c r="AE18" s="31">
        <v>2</v>
      </c>
      <c r="AF18" s="31">
        <v>3</v>
      </c>
      <c r="AG18" s="31">
        <v>2</v>
      </c>
      <c r="AH18" s="31">
        <v>2</v>
      </c>
      <c r="AI18" s="31">
        <v>1</v>
      </c>
      <c r="AJ18" s="31">
        <v>5</v>
      </c>
      <c r="AK18" s="31" t="s">
        <v>172</v>
      </c>
      <c r="AL18" s="31" t="s">
        <v>288</v>
      </c>
      <c r="AM18" s="31" t="s">
        <v>220</v>
      </c>
      <c r="AN18" s="31" t="s">
        <v>190</v>
      </c>
      <c r="AO18" s="31" t="s">
        <v>191</v>
      </c>
      <c r="AP18" s="31" t="s">
        <v>192</v>
      </c>
      <c r="AQ18" s="31" t="s">
        <v>241</v>
      </c>
      <c r="AR18" s="31" t="s">
        <v>292</v>
      </c>
      <c r="AS18" s="31" t="s">
        <v>195</v>
      </c>
      <c r="AT18" s="31" t="s">
        <v>293</v>
      </c>
      <c r="AU18" s="31" t="s">
        <v>45</v>
      </c>
    </row>
    <row r="19" spans="1:47" x14ac:dyDescent="0.25">
      <c r="A19" s="30">
        <v>46213.599778414355</v>
      </c>
      <c r="B19" s="31" t="s">
        <v>70</v>
      </c>
      <c r="C19" s="31" t="s">
        <v>300</v>
      </c>
      <c r="D19" s="31" t="s">
        <v>209</v>
      </c>
      <c r="E19" s="31">
        <v>200</v>
      </c>
      <c r="F19" s="31" t="s">
        <v>301</v>
      </c>
      <c r="G19" s="31" t="s">
        <v>183</v>
      </c>
      <c r="H19" s="31" t="s">
        <v>185</v>
      </c>
      <c r="I19" s="31" t="s">
        <v>185</v>
      </c>
      <c r="J19" s="31" t="s">
        <v>184</v>
      </c>
      <c r="K19" s="31" t="s">
        <v>185</v>
      </c>
      <c r="L19" s="31" t="s">
        <v>185</v>
      </c>
      <c r="M19" s="31" t="s">
        <v>186</v>
      </c>
      <c r="N19" s="31" t="s">
        <v>186</v>
      </c>
      <c r="O19" s="31" t="s">
        <v>214</v>
      </c>
      <c r="P19" s="31" t="s">
        <v>214</v>
      </c>
      <c r="Q19" s="31" t="s">
        <v>214</v>
      </c>
      <c r="R19" s="31" t="s">
        <v>214</v>
      </c>
      <c r="S19" s="31" t="s">
        <v>217</v>
      </c>
      <c r="T19" s="31" t="s">
        <v>217</v>
      </c>
      <c r="U19" s="31" t="s">
        <v>217</v>
      </c>
      <c r="V19" s="31" t="s">
        <v>217</v>
      </c>
      <c r="W19" s="31" t="s">
        <v>230</v>
      </c>
      <c r="X19" s="31" t="s">
        <v>275</v>
      </c>
      <c r="Y19" s="31" t="s">
        <v>215</v>
      </c>
      <c r="Z19" s="31" t="s">
        <v>230</v>
      </c>
      <c r="AA19" s="31" t="s">
        <v>184</v>
      </c>
      <c r="AB19" s="31" t="s">
        <v>245</v>
      </c>
      <c r="AC19" s="31" t="s">
        <v>200</v>
      </c>
      <c r="AD19" s="31" t="s">
        <v>186</v>
      </c>
      <c r="AE19" s="31">
        <v>3</v>
      </c>
      <c r="AF19" s="31">
        <v>3</v>
      </c>
      <c r="AG19" s="31">
        <v>2</v>
      </c>
      <c r="AH19" s="31">
        <v>5</v>
      </c>
      <c r="AI19" s="31">
        <v>3</v>
      </c>
      <c r="AJ19" s="31">
        <v>3</v>
      </c>
      <c r="AK19" s="31" t="s">
        <v>246</v>
      </c>
      <c r="AL19" s="31" t="s">
        <v>219</v>
      </c>
      <c r="AM19" s="31" t="s">
        <v>240</v>
      </c>
      <c r="AN19" s="31" t="s">
        <v>221</v>
      </c>
      <c r="AO19" s="31" t="s">
        <v>222</v>
      </c>
      <c r="AP19" s="31" t="s">
        <v>204</v>
      </c>
      <c r="AQ19" s="31" t="s">
        <v>233</v>
      </c>
      <c r="AR19" s="31" t="s">
        <v>242</v>
      </c>
      <c r="AS19" s="31" t="s">
        <v>195</v>
      </c>
      <c r="AT19" s="31" t="s">
        <v>302</v>
      </c>
      <c r="AU19" s="31" t="s">
        <v>45</v>
      </c>
    </row>
    <row r="20" spans="1:47" x14ac:dyDescent="0.25">
      <c r="A20" s="30">
        <v>46213.622665856485</v>
      </c>
      <c r="B20" s="31" t="s">
        <v>303</v>
      </c>
      <c r="C20" s="31" t="s">
        <v>70</v>
      </c>
      <c r="D20" s="31" t="s">
        <v>228</v>
      </c>
      <c r="E20" s="31">
        <v>650</v>
      </c>
      <c r="F20" s="31" t="s">
        <v>304</v>
      </c>
      <c r="G20" s="31" t="s">
        <v>183</v>
      </c>
      <c r="H20" s="31" t="s">
        <v>185</v>
      </c>
      <c r="I20" s="31" t="s">
        <v>185</v>
      </c>
      <c r="J20" s="31" t="s">
        <v>212</v>
      </c>
      <c r="K20" s="31" t="s">
        <v>185</v>
      </c>
      <c r="L20" s="31" t="s">
        <v>185</v>
      </c>
      <c r="M20" s="31" t="s">
        <v>186</v>
      </c>
      <c r="N20" s="31" t="s">
        <v>186</v>
      </c>
      <c r="O20" s="31" t="s">
        <v>186</v>
      </c>
      <c r="P20" s="31" t="s">
        <v>214</v>
      </c>
      <c r="Q20" s="31" t="s">
        <v>214</v>
      </c>
      <c r="R20" s="31" t="s">
        <v>186</v>
      </c>
      <c r="S20" s="31" t="s">
        <v>230</v>
      </c>
      <c r="T20" s="31" t="s">
        <v>230</v>
      </c>
      <c r="U20" s="31" t="s">
        <v>217</v>
      </c>
      <c r="V20" s="31" t="s">
        <v>230</v>
      </c>
      <c r="W20" s="31" t="s">
        <v>217</v>
      </c>
      <c r="X20" s="31" t="s">
        <v>230</v>
      </c>
      <c r="Y20" s="31" t="s">
        <v>275</v>
      </c>
      <c r="Z20" s="31" t="s">
        <v>230</v>
      </c>
      <c r="AA20" s="31" t="s">
        <v>184</v>
      </c>
      <c r="AB20" s="31" t="s">
        <v>185</v>
      </c>
      <c r="AC20" s="31" t="s">
        <v>186</v>
      </c>
      <c r="AD20" s="31" t="s">
        <v>186</v>
      </c>
      <c r="AE20" s="31">
        <v>4</v>
      </c>
      <c r="AF20" s="31">
        <v>4</v>
      </c>
      <c r="AG20" s="31">
        <v>3</v>
      </c>
      <c r="AH20" s="31">
        <v>3</v>
      </c>
      <c r="AI20" s="31">
        <v>4</v>
      </c>
      <c r="AJ20" s="31">
        <v>3</v>
      </c>
      <c r="AK20" s="31" t="s">
        <v>172</v>
      </c>
      <c r="AL20" s="31" t="s">
        <v>258</v>
      </c>
      <c r="AM20" s="31" t="s">
        <v>189</v>
      </c>
      <c r="AN20" s="31" t="s">
        <v>202</v>
      </c>
      <c r="AO20" s="31" t="s">
        <v>222</v>
      </c>
      <c r="AP20" s="31" t="s">
        <v>192</v>
      </c>
      <c r="AQ20" s="31" t="s">
        <v>233</v>
      </c>
      <c r="AR20" s="31" t="s">
        <v>305</v>
      </c>
      <c r="AS20" s="31" t="s">
        <v>265</v>
      </c>
      <c r="AT20" s="31" t="s">
        <v>306</v>
      </c>
      <c r="AU20" s="31" t="s">
        <v>45</v>
      </c>
    </row>
    <row r="21" spans="1:47" x14ac:dyDescent="0.25">
      <c r="A21" s="30">
        <v>46213.675871898144</v>
      </c>
      <c r="B21" s="31" t="s">
        <v>70</v>
      </c>
      <c r="C21" s="31" t="s">
        <v>307</v>
      </c>
      <c r="D21" s="31" t="s">
        <v>228</v>
      </c>
      <c r="E21" s="31">
        <v>450</v>
      </c>
      <c r="F21" s="31" t="s">
        <v>308</v>
      </c>
      <c r="G21" s="31" t="s">
        <v>183</v>
      </c>
      <c r="H21" s="31" t="s">
        <v>185</v>
      </c>
      <c r="I21" s="31" t="s">
        <v>185</v>
      </c>
      <c r="J21" s="31" t="s">
        <v>212</v>
      </c>
      <c r="K21" s="31" t="s">
        <v>185</v>
      </c>
      <c r="L21" s="31" t="s">
        <v>185</v>
      </c>
      <c r="M21" s="31" t="s">
        <v>186</v>
      </c>
      <c r="N21" s="31" t="s">
        <v>186</v>
      </c>
      <c r="O21" s="31" t="s">
        <v>214</v>
      </c>
      <c r="P21" s="31" t="s">
        <v>186</v>
      </c>
      <c r="Q21" s="31" t="s">
        <v>214</v>
      </c>
      <c r="R21" s="31" t="s">
        <v>186</v>
      </c>
      <c r="S21" s="31" t="s">
        <v>217</v>
      </c>
      <c r="T21" s="31" t="s">
        <v>230</v>
      </c>
      <c r="U21" s="31" t="s">
        <v>217</v>
      </c>
      <c r="V21" s="31" t="s">
        <v>230</v>
      </c>
      <c r="W21" s="31" t="s">
        <v>230</v>
      </c>
      <c r="X21" s="31" t="s">
        <v>230</v>
      </c>
      <c r="Y21" s="31" t="s">
        <v>275</v>
      </c>
      <c r="Z21" s="31" t="s">
        <v>217</v>
      </c>
      <c r="AA21" s="31" t="s">
        <v>184</v>
      </c>
      <c r="AB21" s="31" t="s">
        <v>245</v>
      </c>
      <c r="AC21" s="31" t="s">
        <v>200</v>
      </c>
      <c r="AD21" s="31" t="s">
        <v>214</v>
      </c>
      <c r="AE21" s="31">
        <v>5</v>
      </c>
      <c r="AF21" s="31">
        <v>3</v>
      </c>
      <c r="AG21" s="31">
        <v>5</v>
      </c>
      <c r="AH21" s="31">
        <v>2</v>
      </c>
      <c r="AI21" s="31">
        <v>2</v>
      </c>
      <c r="AJ21" s="31">
        <v>4</v>
      </c>
      <c r="AK21" s="31" t="s">
        <v>246</v>
      </c>
      <c r="AL21" s="31" t="s">
        <v>309</v>
      </c>
      <c r="AM21" s="31" t="s">
        <v>240</v>
      </c>
      <c r="AN21" s="31" t="s">
        <v>174</v>
      </c>
      <c r="AO21" s="31" t="s">
        <v>310</v>
      </c>
      <c r="AP21" s="31" t="s">
        <v>311</v>
      </c>
      <c r="AQ21" s="31" t="s">
        <v>233</v>
      </c>
      <c r="AR21" s="31" t="s">
        <v>312</v>
      </c>
      <c r="AS21" s="31" t="s">
        <v>178</v>
      </c>
      <c r="AT21" s="31" t="s">
        <v>313</v>
      </c>
      <c r="AU21" s="31" t="s">
        <v>45</v>
      </c>
    </row>
    <row r="22" spans="1:47" x14ac:dyDescent="0.25">
      <c r="A22" s="30">
        <v>46216.486637627313</v>
      </c>
      <c r="B22" s="31" t="s">
        <v>70</v>
      </c>
      <c r="C22" s="31" t="s">
        <v>314</v>
      </c>
      <c r="D22" s="31" t="s">
        <v>237</v>
      </c>
      <c r="E22" s="31">
        <v>69</v>
      </c>
      <c r="F22" s="31" t="s">
        <v>315</v>
      </c>
      <c r="G22" s="31" t="s">
        <v>183</v>
      </c>
      <c r="H22" s="31" t="s">
        <v>185</v>
      </c>
      <c r="I22" s="31" t="s">
        <v>185</v>
      </c>
      <c r="J22" s="31" t="s">
        <v>212</v>
      </c>
      <c r="K22" s="31" t="s">
        <v>185</v>
      </c>
      <c r="L22" s="31" t="s">
        <v>185</v>
      </c>
      <c r="M22" s="31" t="s">
        <v>186</v>
      </c>
      <c r="N22" s="31" t="s">
        <v>186</v>
      </c>
      <c r="O22" s="31" t="s">
        <v>200</v>
      </c>
      <c r="P22" s="31" t="s">
        <v>186</v>
      </c>
      <c r="Q22" s="31" t="s">
        <v>214</v>
      </c>
      <c r="R22" s="31" t="s">
        <v>214</v>
      </c>
      <c r="S22" s="31" t="s">
        <v>217</v>
      </c>
      <c r="T22" s="31" t="s">
        <v>217</v>
      </c>
      <c r="U22" s="31" t="s">
        <v>217</v>
      </c>
      <c r="V22" s="31" t="s">
        <v>217</v>
      </c>
      <c r="W22" s="31" t="s">
        <v>217</v>
      </c>
      <c r="X22" s="31" t="s">
        <v>217</v>
      </c>
      <c r="Y22" s="31" t="s">
        <v>217</v>
      </c>
      <c r="Z22" s="31" t="s">
        <v>217</v>
      </c>
      <c r="AA22" s="31" t="s">
        <v>184</v>
      </c>
      <c r="AB22" s="31" t="s">
        <v>185</v>
      </c>
      <c r="AC22" s="31" t="s">
        <v>214</v>
      </c>
      <c r="AD22" s="31" t="s">
        <v>200</v>
      </c>
      <c r="AE22" s="31">
        <v>4</v>
      </c>
      <c r="AF22" s="31">
        <v>2</v>
      </c>
      <c r="AG22" s="31">
        <v>2</v>
      </c>
      <c r="AH22" s="31">
        <v>5</v>
      </c>
      <c r="AI22" s="31">
        <v>1</v>
      </c>
      <c r="AJ22" s="31">
        <v>4</v>
      </c>
      <c r="AK22" s="31" t="s">
        <v>246</v>
      </c>
      <c r="AL22" s="31" t="s">
        <v>316</v>
      </c>
      <c r="AM22" s="31" t="s">
        <v>282</v>
      </c>
      <c r="AN22" s="31" t="s">
        <v>221</v>
      </c>
      <c r="AO22" s="31" t="s">
        <v>191</v>
      </c>
      <c r="AP22" s="31" t="s">
        <v>311</v>
      </c>
      <c r="AQ22" s="31" t="s">
        <v>317</v>
      </c>
      <c r="AR22" s="31" t="s">
        <v>292</v>
      </c>
      <c r="AS22" s="31" t="s">
        <v>195</v>
      </c>
      <c r="AT22" s="31" t="s">
        <v>260</v>
      </c>
      <c r="AU22" s="31" t="s">
        <v>45</v>
      </c>
    </row>
    <row r="23" spans="1:47" x14ac:dyDescent="0.25">
      <c r="A23" s="30">
        <v>46216.50166707176</v>
      </c>
      <c r="B23" s="31" t="s">
        <v>64</v>
      </c>
      <c r="C23" s="31" t="s">
        <v>318</v>
      </c>
      <c r="D23" s="31" t="s">
        <v>228</v>
      </c>
      <c r="E23" s="31">
        <v>8</v>
      </c>
      <c r="F23" s="31" t="s">
        <v>299</v>
      </c>
      <c r="G23" s="31" t="s">
        <v>183</v>
      </c>
      <c r="H23" s="31" t="s">
        <v>184</v>
      </c>
      <c r="I23" s="31" t="s">
        <v>184</v>
      </c>
      <c r="J23" s="31" t="s">
        <v>185</v>
      </c>
      <c r="K23" s="31" t="s">
        <v>212</v>
      </c>
      <c r="L23" s="31" t="s">
        <v>212</v>
      </c>
      <c r="M23" s="31" t="s">
        <v>186</v>
      </c>
      <c r="N23" s="31" t="s">
        <v>186</v>
      </c>
      <c r="O23" s="31" t="s">
        <v>200</v>
      </c>
      <c r="P23" s="31" t="s">
        <v>200</v>
      </c>
      <c r="Q23" s="31" t="s">
        <v>186</v>
      </c>
      <c r="R23" s="31" t="s">
        <v>186</v>
      </c>
      <c r="S23" s="31" t="s">
        <v>217</v>
      </c>
      <c r="T23" s="31" t="s">
        <v>215</v>
      </c>
      <c r="U23" s="31" t="s">
        <v>215</v>
      </c>
      <c r="V23" s="31" t="s">
        <v>215</v>
      </c>
      <c r="W23" s="31" t="s">
        <v>216</v>
      </c>
      <c r="X23" s="31" t="s">
        <v>275</v>
      </c>
      <c r="Y23" s="31" t="s">
        <v>275</v>
      </c>
      <c r="Z23" s="31" t="s">
        <v>217</v>
      </c>
      <c r="AA23" s="31" t="s">
        <v>184</v>
      </c>
      <c r="AB23" s="31" t="s">
        <v>238</v>
      </c>
      <c r="AC23" s="31" t="s">
        <v>186</v>
      </c>
      <c r="AD23" s="31" t="s">
        <v>214</v>
      </c>
      <c r="AE23" s="31">
        <v>1</v>
      </c>
      <c r="AF23" s="31">
        <v>3</v>
      </c>
      <c r="AG23" s="31">
        <v>1</v>
      </c>
      <c r="AH23" s="31">
        <v>5</v>
      </c>
      <c r="AI23" s="31">
        <v>1</v>
      </c>
      <c r="AJ23" s="31">
        <v>3</v>
      </c>
      <c r="AK23" s="31" t="s">
        <v>246</v>
      </c>
      <c r="AL23" s="31" t="s">
        <v>258</v>
      </c>
      <c r="AM23" s="31" t="s">
        <v>319</v>
      </c>
      <c r="AN23" s="31" t="s">
        <v>202</v>
      </c>
      <c r="AO23" s="31" t="s">
        <v>191</v>
      </c>
      <c r="AP23" s="31" t="s">
        <v>192</v>
      </c>
      <c r="AQ23" s="31" t="s">
        <v>241</v>
      </c>
      <c r="AR23" s="31" t="s">
        <v>254</v>
      </c>
      <c r="AS23" s="31" t="s">
        <v>178</v>
      </c>
      <c r="AT23" s="31" t="s">
        <v>226</v>
      </c>
      <c r="AU23" s="31" t="s">
        <v>45</v>
      </c>
    </row>
    <row r="24" spans="1:47" x14ac:dyDescent="0.25">
      <c r="A24" s="30">
        <v>46216.532980162039</v>
      </c>
      <c r="B24" s="31" t="s">
        <v>208</v>
      </c>
      <c r="C24" s="31" t="s">
        <v>29</v>
      </c>
      <c r="D24" s="31" t="s">
        <v>209</v>
      </c>
      <c r="E24" s="31">
        <v>7</v>
      </c>
      <c r="F24" s="31" t="s">
        <v>320</v>
      </c>
      <c r="G24" s="31" t="s">
        <v>183</v>
      </c>
      <c r="H24" s="31" t="s">
        <v>212</v>
      </c>
      <c r="I24" s="31" t="s">
        <v>185</v>
      </c>
      <c r="J24" s="31" t="s">
        <v>185</v>
      </c>
      <c r="K24" s="31" t="s">
        <v>213</v>
      </c>
      <c r="L24" s="31" t="s">
        <v>212</v>
      </c>
      <c r="M24" s="31" t="s">
        <v>186</v>
      </c>
      <c r="N24" s="31" t="s">
        <v>186</v>
      </c>
      <c r="O24" s="31" t="s">
        <v>186</v>
      </c>
      <c r="P24" s="31" t="s">
        <v>214</v>
      </c>
      <c r="Q24" s="31" t="s">
        <v>186</v>
      </c>
      <c r="R24" s="31" t="s">
        <v>186</v>
      </c>
      <c r="S24" s="31" t="s">
        <v>215</v>
      </c>
      <c r="T24" s="31" t="s">
        <v>215</v>
      </c>
      <c r="U24" s="31" t="s">
        <v>230</v>
      </c>
      <c r="V24" s="31" t="s">
        <v>215</v>
      </c>
      <c r="W24" s="31" t="s">
        <v>217</v>
      </c>
      <c r="X24" s="31" t="s">
        <v>230</v>
      </c>
      <c r="Y24" s="31" t="s">
        <v>217</v>
      </c>
      <c r="Z24" s="31" t="s">
        <v>217</v>
      </c>
      <c r="AA24" s="31" t="s">
        <v>238</v>
      </c>
      <c r="AB24" s="31" t="s">
        <v>245</v>
      </c>
      <c r="AC24" s="31" t="s">
        <v>214</v>
      </c>
      <c r="AD24" s="31" t="s">
        <v>186</v>
      </c>
      <c r="AE24" s="31">
        <v>4</v>
      </c>
      <c r="AF24" s="31">
        <v>4</v>
      </c>
      <c r="AG24" s="31">
        <v>3</v>
      </c>
      <c r="AH24" s="31">
        <v>2</v>
      </c>
      <c r="AI24" s="31">
        <v>2</v>
      </c>
      <c r="AJ24" s="31">
        <v>3</v>
      </c>
      <c r="AK24" s="31" t="s">
        <v>187</v>
      </c>
      <c r="AL24" s="31" t="s">
        <v>321</v>
      </c>
      <c r="AM24" s="31" t="s">
        <v>319</v>
      </c>
      <c r="AN24" s="31" t="s">
        <v>190</v>
      </c>
      <c r="AO24" s="31" t="s">
        <v>191</v>
      </c>
      <c r="AP24" s="31" t="s">
        <v>175</v>
      </c>
      <c r="AQ24" s="31" t="s">
        <v>322</v>
      </c>
      <c r="AR24" s="31" t="s">
        <v>242</v>
      </c>
      <c r="AS24" s="31" t="s">
        <v>265</v>
      </c>
      <c r="AT24" s="31" t="s">
        <v>279</v>
      </c>
      <c r="AU24" s="31"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69C76-3D0E-4AC1-AF2A-17A3824D91CD}">
  <sheetPr>
    <outlinePr summaryBelow="0" summaryRight="0"/>
  </sheetPr>
  <dimension ref="A1:Z45"/>
  <sheetViews>
    <sheetView zoomScale="70" zoomScaleNormal="70" workbookViewId="0">
      <pane ySplit="1" topLeftCell="A20" activePane="bottomLeft" state="frozen"/>
      <selection pane="bottomLeft" activeCell="F24" sqref="F24"/>
    </sheetView>
  </sheetViews>
  <sheetFormatPr defaultColWidth="12.5703125" defaultRowHeight="15.75" customHeight="1" x14ac:dyDescent="0.25"/>
  <cols>
    <col min="1" max="3" width="18.85546875" customWidth="1"/>
    <col min="4" max="26" width="37.5703125" customWidth="1"/>
    <col min="27" max="32" width="18.85546875" customWidth="1"/>
  </cols>
  <sheetData>
    <row r="1" spans="1:26"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22.5" customHeight="1" x14ac:dyDescent="0.25">
      <c r="A2" s="5">
        <v>46085.532780532405</v>
      </c>
      <c r="B2" s="6" t="s">
        <v>38</v>
      </c>
      <c r="C2" s="6" t="s">
        <v>27</v>
      </c>
      <c r="D2" s="6" t="s">
        <v>50</v>
      </c>
      <c r="E2" s="6" t="s">
        <v>29</v>
      </c>
      <c r="F2" s="6" t="s">
        <v>40</v>
      </c>
      <c r="G2" s="6" t="s">
        <v>48</v>
      </c>
      <c r="H2" s="6" t="s">
        <v>51</v>
      </c>
      <c r="I2" s="6">
        <v>1</v>
      </c>
      <c r="J2" s="6">
        <v>3</v>
      </c>
      <c r="K2" s="6">
        <v>3</v>
      </c>
      <c r="L2" s="6">
        <v>3</v>
      </c>
      <c r="M2" s="6">
        <v>3</v>
      </c>
      <c r="N2" s="6">
        <v>3</v>
      </c>
      <c r="O2" s="6">
        <v>3</v>
      </c>
      <c r="P2" s="6">
        <v>3</v>
      </c>
      <c r="Q2" s="6">
        <v>3</v>
      </c>
      <c r="R2" s="6">
        <v>3</v>
      </c>
      <c r="S2" s="6">
        <v>4</v>
      </c>
      <c r="T2" s="6">
        <v>5</v>
      </c>
      <c r="U2" s="6">
        <v>5</v>
      </c>
      <c r="V2" s="6" t="s">
        <v>33</v>
      </c>
      <c r="W2" s="6" t="s">
        <v>52</v>
      </c>
      <c r="X2" s="6" t="s">
        <v>53</v>
      </c>
      <c r="Y2" s="6" t="s">
        <v>54</v>
      </c>
      <c r="Z2" s="6" t="s">
        <v>45</v>
      </c>
    </row>
    <row r="3" spans="1:26" ht="22.5" customHeight="1" x14ac:dyDescent="0.25">
      <c r="A3" s="5">
        <v>46085.534371863425</v>
      </c>
      <c r="B3" s="6" t="s">
        <v>26</v>
      </c>
      <c r="C3" s="6" t="s">
        <v>27</v>
      </c>
      <c r="D3" s="6" t="s">
        <v>47</v>
      </c>
      <c r="E3" s="6" t="s">
        <v>55</v>
      </c>
      <c r="F3" s="6" t="s">
        <v>56</v>
      </c>
      <c r="G3" s="6" t="s">
        <v>48</v>
      </c>
      <c r="H3" s="6" t="s">
        <v>57</v>
      </c>
      <c r="I3" s="6">
        <v>5</v>
      </c>
      <c r="J3" s="6">
        <v>5</v>
      </c>
      <c r="K3" s="6">
        <v>5</v>
      </c>
      <c r="L3" s="6">
        <v>5</v>
      </c>
      <c r="M3" s="6">
        <v>5</v>
      </c>
      <c r="N3" s="6">
        <v>5</v>
      </c>
      <c r="O3" s="6">
        <v>5</v>
      </c>
      <c r="P3" s="6">
        <v>5</v>
      </c>
      <c r="Q3" s="6">
        <v>5</v>
      </c>
      <c r="R3" s="6">
        <v>1</v>
      </c>
      <c r="S3" s="6">
        <v>5</v>
      </c>
      <c r="T3" s="6">
        <v>5</v>
      </c>
      <c r="U3" s="6">
        <v>5</v>
      </c>
      <c r="V3" s="6" t="s">
        <v>58</v>
      </c>
      <c r="W3" s="6" t="s">
        <v>52</v>
      </c>
      <c r="X3" s="6" t="s">
        <v>59</v>
      </c>
      <c r="Y3" s="6" t="s">
        <v>54</v>
      </c>
      <c r="Z3" s="6" t="s">
        <v>45</v>
      </c>
    </row>
    <row r="4" spans="1:26" ht="22.5" customHeight="1" x14ac:dyDescent="0.25">
      <c r="A4" s="5">
        <v>46085.569640254631</v>
      </c>
      <c r="B4" s="6" t="s">
        <v>60</v>
      </c>
      <c r="C4" s="6" t="s">
        <v>27</v>
      </c>
      <c r="D4" s="6" t="s">
        <v>28</v>
      </c>
      <c r="E4" s="6" t="s">
        <v>61</v>
      </c>
      <c r="F4" s="6" t="s">
        <v>40</v>
      </c>
      <c r="G4" s="6" t="s">
        <v>31</v>
      </c>
      <c r="H4" s="6" t="s">
        <v>57</v>
      </c>
      <c r="I4" s="6">
        <v>4</v>
      </c>
      <c r="J4" s="6">
        <v>4</v>
      </c>
      <c r="K4" s="6">
        <v>5</v>
      </c>
      <c r="L4" s="6">
        <v>5</v>
      </c>
      <c r="M4" s="6">
        <v>5</v>
      </c>
      <c r="N4" s="6">
        <v>5</v>
      </c>
      <c r="O4" s="6">
        <v>5</v>
      </c>
      <c r="P4" s="6">
        <v>5</v>
      </c>
      <c r="Q4" s="6">
        <v>5</v>
      </c>
      <c r="R4" s="6">
        <v>2</v>
      </c>
      <c r="S4" s="6">
        <v>5</v>
      </c>
      <c r="T4" s="6">
        <v>5</v>
      </c>
      <c r="U4" s="6">
        <v>5</v>
      </c>
      <c r="V4" s="6" t="s">
        <v>41</v>
      </c>
      <c r="W4" s="6" t="s">
        <v>42</v>
      </c>
      <c r="X4" s="6" t="s">
        <v>62</v>
      </c>
      <c r="Y4" s="6" t="s">
        <v>63</v>
      </c>
      <c r="Z4" s="6" t="s">
        <v>45</v>
      </c>
    </row>
    <row r="5" spans="1:26" ht="22.5" customHeight="1" x14ac:dyDescent="0.25">
      <c r="A5" s="5">
        <v>46085.570529108794</v>
      </c>
      <c r="B5" s="6" t="s">
        <v>38</v>
      </c>
      <c r="C5" s="6" t="s">
        <v>27</v>
      </c>
      <c r="D5" s="6" t="s">
        <v>28</v>
      </c>
      <c r="E5" s="6" t="s">
        <v>64</v>
      </c>
      <c r="F5" s="6" t="s">
        <v>56</v>
      </c>
      <c r="G5" s="6" t="s">
        <v>31</v>
      </c>
      <c r="H5" s="6" t="s">
        <v>65</v>
      </c>
      <c r="I5" s="6">
        <v>4</v>
      </c>
      <c r="J5" s="6">
        <v>5</v>
      </c>
      <c r="K5" s="6">
        <v>5</v>
      </c>
      <c r="L5" s="6">
        <v>4</v>
      </c>
      <c r="M5" s="6">
        <v>5</v>
      </c>
      <c r="N5" s="6">
        <v>5</v>
      </c>
      <c r="O5" s="6">
        <v>5</v>
      </c>
      <c r="P5" s="6">
        <v>4</v>
      </c>
      <c r="Q5" s="6">
        <v>5</v>
      </c>
      <c r="R5" s="6">
        <v>2</v>
      </c>
      <c r="S5" s="6">
        <v>4</v>
      </c>
      <c r="T5" s="6">
        <v>4</v>
      </c>
      <c r="U5" s="6">
        <v>5</v>
      </c>
      <c r="V5" s="6" t="s">
        <v>41</v>
      </c>
      <c r="W5" s="6" t="s">
        <v>34</v>
      </c>
      <c r="X5" s="6" t="s">
        <v>66</v>
      </c>
      <c r="Y5" s="6" t="s">
        <v>54</v>
      </c>
      <c r="Z5" s="6" t="s">
        <v>45</v>
      </c>
    </row>
    <row r="6" spans="1:26" ht="22.5" customHeight="1" x14ac:dyDescent="0.25">
      <c r="A6" s="5">
        <v>46085.571883530094</v>
      </c>
      <c r="B6" s="6" t="s">
        <v>38</v>
      </c>
      <c r="C6" s="6" t="s">
        <v>27</v>
      </c>
      <c r="D6" s="6" t="s">
        <v>67</v>
      </c>
      <c r="E6" s="6" t="s">
        <v>61</v>
      </c>
      <c r="F6" s="6" t="s">
        <v>56</v>
      </c>
      <c r="G6" s="6" t="s">
        <v>48</v>
      </c>
      <c r="H6" s="6" t="s">
        <v>57</v>
      </c>
      <c r="I6" s="6">
        <v>3</v>
      </c>
      <c r="J6" s="6">
        <v>3</v>
      </c>
      <c r="K6" s="6">
        <v>4</v>
      </c>
      <c r="L6" s="6">
        <v>4</v>
      </c>
      <c r="M6" s="6">
        <v>5</v>
      </c>
      <c r="N6" s="6">
        <v>5</v>
      </c>
      <c r="O6" s="6">
        <v>4</v>
      </c>
      <c r="P6" s="6">
        <v>4</v>
      </c>
      <c r="Q6" s="6">
        <v>5</v>
      </c>
      <c r="R6" s="6">
        <v>4</v>
      </c>
      <c r="S6" s="6">
        <v>5</v>
      </c>
      <c r="T6" s="6">
        <v>4</v>
      </c>
      <c r="U6" s="6">
        <v>4</v>
      </c>
      <c r="V6" s="6" t="s">
        <v>41</v>
      </c>
      <c r="W6" s="6" t="s">
        <v>42</v>
      </c>
      <c r="X6" s="6" t="s">
        <v>68</v>
      </c>
      <c r="Y6" s="6" t="s">
        <v>44</v>
      </c>
      <c r="Z6" s="6" t="s">
        <v>45</v>
      </c>
    </row>
    <row r="7" spans="1:26" ht="22.5" customHeight="1" x14ac:dyDescent="0.25">
      <c r="A7" s="5">
        <v>46086.535248900458</v>
      </c>
      <c r="B7" s="6" t="s">
        <v>69</v>
      </c>
      <c r="C7" s="6" t="s">
        <v>27</v>
      </c>
      <c r="D7" s="6" t="s">
        <v>67</v>
      </c>
      <c r="E7" s="6" t="s">
        <v>70</v>
      </c>
      <c r="F7" s="6" t="s">
        <v>71</v>
      </c>
      <c r="G7" s="6" t="s">
        <v>31</v>
      </c>
      <c r="H7" s="6" t="s">
        <v>72</v>
      </c>
      <c r="I7" s="6">
        <v>3</v>
      </c>
      <c r="J7" s="6">
        <v>4</v>
      </c>
      <c r="K7" s="6">
        <v>4</v>
      </c>
      <c r="L7" s="6">
        <v>4</v>
      </c>
      <c r="M7" s="6">
        <v>5</v>
      </c>
      <c r="N7" s="6">
        <v>4</v>
      </c>
      <c r="O7" s="6">
        <v>5</v>
      </c>
      <c r="P7" s="6">
        <v>5</v>
      </c>
      <c r="Q7" s="6">
        <v>4</v>
      </c>
      <c r="R7" s="6">
        <v>2</v>
      </c>
      <c r="S7" s="6">
        <v>3</v>
      </c>
      <c r="T7" s="6">
        <v>5</v>
      </c>
      <c r="U7" s="6">
        <v>4</v>
      </c>
      <c r="V7" s="6" t="s">
        <v>41</v>
      </c>
      <c r="W7" s="6" t="s">
        <v>34</v>
      </c>
      <c r="X7" s="6" t="s">
        <v>73</v>
      </c>
      <c r="Y7" s="6" t="s">
        <v>74</v>
      </c>
      <c r="Z7" s="6" t="s">
        <v>45</v>
      </c>
    </row>
    <row r="8" spans="1:26" ht="22.5" customHeight="1" x14ac:dyDescent="0.25">
      <c r="A8" s="5">
        <v>46086.551587951384</v>
      </c>
      <c r="B8" s="6" t="s">
        <v>69</v>
      </c>
      <c r="C8" s="6" t="s">
        <v>27</v>
      </c>
      <c r="D8" s="6" t="s">
        <v>47</v>
      </c>
      <c r="E8" s="6" t="s">
        <v>70</v>
      </c>
      <c r="F8" s="6" t="s">
        <v>71</v>
      </c>
      <c r="G8" s="6" t="s">
        <v>31</v>
      </c>
      <c r="H8" s="6" t="s">
        <v>75</v>
      </c>
      <c r="I8" s="6">
        <v>4</v>
      </c>
      <c r="J8" s="6">
        <v>3</v>
      </c>
      <c r="K8" s="6">
        <v>4</v>
      </c>
      <c r="L8" s="6">
        <v>4</v>
      </c>
      <c r="M8" s="6">
        <v>5</v>
      </c>
      <c r="N8" s="6">
        <v>4</v>
      </c>
      <c r="O8" s="6">
        <v>4</v>
      </c>
      <c r="P8" s="6">
        <v>5</v>
      </c>
      <c r="Q8" s="6">
        <v>5</v>
      </c>
      <c r="R8" s="6">
        <v>2</v>
      </c>
      <c r="S8" s="6">
        <v>4</v>
      </c>
      <c r="T8" s="6">
        <v>4</v>
      </c>
      <c r="U8" s="6">
        <v>4</v>
      </c>
      <c r="V8" s="6" t="s">
        <v>41</v>
      </c>
      <c r="W8" s="6" t="s">
        <v>42</v>
      </c>
      <c r="X8" s="6" t="s">
        <v>49</v>
      </c>
      <c r="Y8" s="6" t="s">
        <v>74</v>
      </c>
      <c r="Z8" s="6" t="s">
        <v>45</v>
      </c>
    </row>
    <row r="9" spans="1:26" ht="22.5" customHeight="1" x14ac:dyDescent="0.25">
      <c r="A9" s="5">
        <v>46086.575742824076</v>
      </c>
      <c r="B9" s="6" t="s">
        <v>38</v>
      </c>
      <c r="C9" s="6" t="s">
        <v>46</v>
      </c>
      <c r="D9" s="6" t="s">
        <v>28</v>
      </c>
      <c r="E9" s="6" t="s">
        <v>29</v>
      </c>
      <c r="F9" s="6" t="s">
        <v>40</v>
      </c>
      <c r="G9" s="6" t="s">
        <v>48</v>
      </c>
      <c r="H9" s="6" t="s">
        <v>76</v>
      </c>
      <c r="I9" s="6">
        <v>3</v>
      </c>
      <c r="J9" s="6">
        <v>3</v>
      </c>
      <c r="K9" s="6">
        <v>2</v>
      </c>
      <c r="L9" s="6">
        <v>2</v>
      </c>
      <c r="M9" s="6">
        <v>1</v>
      </c>
      <c r="N9" s="6">
        <v>3</v>
      </c>
      <c r="O9" s="6">
        <v>4</v>
      </c>
      <c r="P9" s="6">
        <v>2</v>
      </c>
      <c r="Q9" s="6">
        <v>4</v>
      </c>
      <c r="R9" s="6">
        <v>1</v>
      </c>
      <c r="S9" s="6">
        <v>1</v>
      </c>
      <c r="T9" s="6">
        <v>1</v>
      </c>
      <c r="U9" s="6">
        <v>2</v>
      </c>
      <c r="V9" s="6" t="s">
        <v>41</v>
      </c>
      <c r="W9" s="6" t="s">
        <v>52</v>
      </c>
      <c r="X9" s="6" t="s">
        <v>68</v>
      </c>
      <c r="Y9" s="6" t="s">
        <v>74</v>
      </c>
      <c r="Z9" s="6" t="s">
        <v>45</v>
      </c>
    </row>
    <row r="10" spans="1:26" ht="22.5" customHeight="1" x14ac:dyDescent="0.25">
      <c r="A10" s="5">
        <v>46086.581596678239</v>
      </c>
      <c r="B10" s="6" t="s">
        <v>38</v>
      </c>
      <c r="C10" s="6" t="s">
        <v>46</v>
      </c>
      <c r="D10" s="6" t="s">
        <v>67</v>
      </c>
      <c r="E10" s="6" t="s">
        <v>55</v>
      </c>
      <c r="F10" s="6" t="s">
        <v>56</v>
      </c>
      <c r="G10" s="6" t="s">
        <v>31</v>
      </c>
      <c r="H10" s="6" t="s">
        <v>32</v>
      </c>
      <c r="I10" s="6">
        <v>3</v>
      </c>
      <c r="K10" s="6">
        <v>3</v>
      </c>
      <c r="L10" s="6">
        <v>1</v>
      </c>
      <c r="M10" s="6">
        <v>2</v>
      </c>
      <c r="N10" s="6">
        <v>4</v>
      </c>
      <c r="O10" s="6">
        <v>4</v>
      </c>
      <c r="P10" s="6">
        <v>1</v>
      </c>
      <c r="Q10" s="6">
        <v>1</v>
      </c>
      <c r="R10" s="6">
        <v>3</v>
      </c>
      <c r="S10" s="6">
        <v>2</v>
      </c>
      <c r="T10" s="6">
        <v>5</v>
      </c>
      <c r="U10" s="6">
        <v>5</v>
      </c>
      <c r="V10" s="6" t="s">
        <v>41</v>
      </c>
      <c r="W10" s="6" t="s">
        <v>34</v>
      </c>
      <c r="X10" s="6" t="s">
        <v>68</v>
      </c>
      <c r="Y10" s="6" t="s">
        <v>36</v>
      </c>
      <c r="Z10" s="6" t="s">
        <v>45</v>
      </c>
    </row>
    <row r="11" spans="1:26" ht="22.5" customHeight="1" x14ac:dyDescent="0.25">
      <c r="A11" s="5">
        <v>46087.563305833333</v>
      </c>
      <c r="B11" s="6" t="s">
        <v>38</v>
      </c>
      <c r="C11" s="6" t="s">
        <v>46</v>
      </c>
      <c r="D11" s="6" t="s">
        <v>50</v>
      </c>
      <c r="E11" s="6" t="s">
        <v>77</v>
      </c>
      <c r="F11" s="6" t="s">
        <v>56</v>
      </c>
      <c r="G11" s="6" t="s">
        <v>31</v>
      </c>
      <c r="H11" s="6" t="s">
        <v>78</v>
      </c>
      <c r="I11" s="6">
        <v>4</v>
      </c>
      <c r="J11" s="6">
        <v>4</v>
      </c>
      <c r="K11" s="6">
        <v>3</v>
      </c>
      <c r="L11" s="6">
        <v>3</v>
      </c>
      <c r="M11" s="6">
        <v>5</v>
      </c>
      <c r="N11" s="6">
        <v>4</v>
      </c>
      <c r="O11" s="6">
        <v>5</v>
      </c>
      <c r="P11" s="6">
        <v>4</v>
      </c>
      <c r="Q11" s="6">
        <v>4</v>
      </c>
      <c r="R11" s="6">
        <v>2</v>
      </c>
      <c r="S11" s="6">
        <v>3</v>
      </c>
      <c r="T11" s="6">
        <v>5</v>
      </c>
      <c r="U11" s="6">
        <v>5</v>
      </c>
      <c r="V11" s="6" t="s">
        <v>41</v>
      </c>
      <c r="W11" s="6" t="s">
        <v>34</v>
      </c>
      <c r="X11" s="6" t="s">
        <v>62</v>
      </c>
      <c r="Y11" s="6" t="s">
        <v>44</v>
      </c>
      <c r="Z11" s="6" t="s">
        <v>45</v>
      </c>
    </row>
    <row r="12" spans="1:26" ht="22.5" customHeight="1" x14ac:dyDescent="0.25">
      <c r="A12" s="5">
        <v>46091.470615185186</v>
      </c>
      <c r="B12" s="6" t="s">
        <v>38</v>
      </c>
      <c r="C12" s="6" t="s">
        <v>27</v>
      </c>
      <c r="D12" s="6" t="s">
        <v>28</v>
      </c>
      <c r="E12" s="6" t="s">
        <v>70</v>
      </c>
      <c r="F12" s="6" t="s">
        <v>79</v>
      </c>
      <c r="G12" s="6" t="s">
        <v>31</v>
      </c>
      <c r="H12" s="6" t="s">
        <v>32</v>
      </c>
      <c r="I12" s="6">
        <v>3</v>
      </c>
      <c r="J12" s="6">
        <v>3</v>
      </c>
      <c r="K12" s="6">
        <v>4</v>
      </c>
      <c r="L12" s="6">
        <v>2</v>
      </c>
      <c r="M12" s="6">
        <v>5</v>
      </c>
      <c r="N12" s="6">
        <v>3</v>
      </c>
      <c r="O12" s="6">
        <v>5</v>
      </c>
      <c r="P12" s="6">
        <v>4</v>
      </c>
      <c r="Q12" s="6">
        <v>5</v>
      </c>
      <c r="R12" s="6">
        <v>4</v>
      </c>
      <c r="S12" s="6">
        <v>3</v>
      </c>
      <c r="T12" s="6">
        <v>4</v>
      </c>
      <c r="U12" s="6">
        <v>4</v>
      </c>
      <c r="V12" s="6" t="s">
        <v>41</v>
      </c>
      <c r="W12" s="6" t="s">
        <v>34</v>
      </c>
      <c r="X12" s="6" t="s">
        <v>80</v>
      </c>
      <c r="Y12" s="6" t="s">
        <v>54</v>
      </c>
      <c r="Z12" s="6" t="s">
        <v>45</v>
      </c>
    </row>
    <row r="13" spans="1:26" ht="22.5" customHeight="1" x14ac:dyDescent="0.25">
      <c r="A13" s="5">
        <v>46091.496135150461</v>
      </c>
      <c r="B13" s="6" t="s">
        <v>60</v>
      </c>
      <c r="C13" s="6" t="s">
        <v>46</v>
      </c>
      <c r="D13" s="6" t="s">
        <v>28</v>
      </c>
      <c r="E13" s="6" t="s">
        <v>70</v>
      </c>
      <c r="F13" s="6" t="s">
        <v>79</v>
      </c>
      <c r="G13" s="6" t="s">
        <v>31</v>
      </c>
      <c r="H13" s="6" t="s">
        <v>32</v>
      </c>
      <c r="I13" s="6">
        <v>5</v>
      </c>
      <c r="K13" s="6">
        <v>5</v>
      </c>
      <c r="L13" s="6">
        <v>5</v>
      </c>
      <c r="M13" s="6">
        <v>5</v>
      </c>
      <c r="N13" s="6">
        <v>5</v>
      </c>
      <c r="O13" s="6">
        <v>5</v>
      </c>
      <c r="P13" s="6">
        <v>5</v>
      </c>
      <c r="Q13" s="6">
        <v>5</v>
      </c>
      <c r="R13" s="6">
        <v>2</v>
      </c>
      <c r="S13" s="6">
        <v>1</v>
      </c>
      <c r="T13" s="6">
        <v>5</v>
      </c>
      <c r="U13" s="6">
        <v>3</v>
      </c>
      <c r="V13" s="6" t="s">
        <v>41</v>
      </c>
      <c r="W13" s="6" t="s">
        <v>42</v>
      </c>
      <c r="X13" s="6" t="s">
        <v>81</v>
      </c>
      <c r="Y13" s="6" t="s">
        <v>36</v>
      </c>
      <c r="Z13" s="6" t="s">
        <v>45</v>
      </c>
    </row>
    <row r="14" spans="1:26" ht="22.5" customHeight="1" x14ac:dyDescent="0.25">
      <c r="A14" s="5">
        <v>46094.589250543984</v>
      </c>
      <c r="B14" s="6" t="s">
        <v>82</v>
      </c>
      <c r="C14" s="6" t="s">
        <v>27</v>
      </c>
      <c r="D14" s="6" t="s">
        <v>67</v>
      </c>
      <c r="E14" s="6" t="s">
        <v>64</v>
      </c>
      <c r="F14" s="6" t="s">
        <v>40</v>
      </c>
      <c r="G14" s="6" t="s">
        <v>83</v>
      </c>
      <c r="H14" s="6" t="s">
        <v>84</v>
      </c>
      <c r="I14" s="6">
        <v>2</v>
      </c>
      <c r="J14" s="6">
        <v>4</v>
      </c>
      <c r="K14" s="6">
        <v>5</v>
      </c>
      <c r="L14" s="6">
        <v>4</v>
      </c>
      <c r="M14" s="6">
        <v>5</v>
      </c>
      <c r="N14" s="6">
        <v>5</v>
      </c>
      <c r="O14" s="6">
        <v>3</v>
      </c>
      <c r="P14" s="6">
        <v>5</v>
      </c>
      <c r="Q14" s="6">
        <v>5</v>
      </c>
      <c r="R14" s="6">
        <v>3</v>
      </c>
      <c r="S14" s="6">
        <v>5</v>
      </c>
      <c r="T14" s="6">
        <v>4</v>
      </c>
      <c r="U14" s="6">
        <v>4</v>
      </c>
      <c r="V14" s="6" t="s">
        <v>33</v>
      </c>
      <c r="W14" s="6" t="s">
        <v>52</v>
      </c>
      <c r="X14" s="6" t="s">
        <v>68</v>
      </c>
      <c r="Y14" s="6" t="s">
        <v>74</v>
      </c>
      <c r="Z14" s="6" t="s">
        <v>45</v>
      </c>
    </row>
    <row r="15" spans="1:26" ht="22.5" customHeight="1" x14ac:dyDescent="0.25">
      <c r="A15" s="5">
        <v>46094.596906666666</v>
      </c>
      <c r="B15" s="6" t="s">
        <v>82</v>
      </c>
      <c r="C15" s="6" t="s">
        <v>27</v>
      </c>
      <c r="D15" s="6" t="s">
        <v>50</v>
      </c>
      <c r="E15" s="6" t="s">
        <v>64</v>
      </c>
      <c r="F15" s="6" t="s">
        <v>40</v>
      </c>
      <c r="G15" s="6" t="s">
        <v>85</v>
      </c>
      <c r="H15" s="6" t="s">
        <v>86</v>
      </c>
      <c r="I15" s="6">
        <v>5</v>
      </c>
      <c r="J15" s="6">
        <v>5</v>
      </c>
      <c r="K15" s="6">
        <v>5</v>
      </c>
      <c r="L15" s="6">
        <v>5</v>
      </c>
      <c r="M15" s="6">
        <v>5</v>
      </c>
      <c r="N15" s="6">
        <v>5</v>
      </c>
      <c r="O15" s="6">
        <v>5</v>
      </c>
      <c r="P15" s="6">
        <v>5</v>
      </c>
      <c r="Q15" s="6">
        <v>5</v>
      </c>
      <c r="R15" s="6">
        <v>1</v>
      </c>
      <c r="S15" s="6">
        <v>5</v>
      </c>
      <c r="T15" s="6">
        <v>5</v>
      </c>
      <c r="U15" s="6">
        <v>5</v>
      </c>
      <c r="V15" s="6" t="s">
        <v>58</v>
      </c>
      <c r="W15" s="6" t="s">
        <v>42</v>
      </c>
      <c r="X15" s="6" t="s">
        <v>73</v>
      </c>
      <c r="Y15" s="6" t="s">
        <v>54</v>
      </c>
      <c r="Z15" s="6" t="s">
        <v>45</v>
      </c>
    </row>
    <row r="16" spans="1:26" ht="22.5" customHeight="1" x14ac:dyDescent="0.25">
      <c r="A16" s="5">
        <v>46094.597525104167</v>
      </c>
      <c r="B16" s="6" t="s">
        <v>82</v>
      </c>
      <c r="C16" s="6" t="s">
        <v>27</v>
      </c>
      <c r="D16" s="6" t="s">
        <v>50</v>
      </c>
      <c r="E16" s="6" t="s">
        <v>64</v>
      </c>
      <c r="F16" s="6" t="s">
        <v>40</v>
      </c>
      <c r="G16" s="6" t="s">
        <v>85</v>
      </c>
      <c r="H16" s="6" t="s">
        <v>86</v>
      </c>
      <c r="I16" s="6">
        <v>5</v>
      </c>
      <c r="J16" s="6">
        <v>5</v>
      </c>
      <c r="K16" s="6">
        <v>5</v>
      </c>
      <c r="L16" s="6">
        <v>5</v>
      </c>
      <c r="M16" s="6">
        <v>5</v>
      </c>
      <c r="N16" s="6">
        <v>5</v>
      </c>
      <c r="O16" s="6">
        <v>5</v>
      </c>
      <c r="P16" s="6">
        <v>5</v>
      </c>
      <c r="Q16" s="6">
        <v>5</v>
      </c>
      <c r="R16" s="6">
        <v>1</v>
      </c>
      <c r="S16" s="6">
        <v>5</v>
      </c>
      <c r="T16" s="6">
        <v>5</v>
      </c>
      <c r="U16" s="6">
        <v>5</v>
      </c>
      <c r="V16" s="6" t="s">
        <v>58</v>
      </c>
      <c r="W16" s="6" t="s">
        <v>42</v>
      </c>
      <c r="X16" s="6" t="s">
        <v>73</v>
      </c>
      <c r="Y16" s="6" t="s">
        <v>54</v>
      </c>
      <c r="Z16" s="6" t="s">
        <v>45</v>
      </c>
    </row>
    <row r="17" spans="1:26" ht="22.5" customHeight="1" x14ac:dyDescent="0.25">
      <c r="A17" s="5">
        <v>46122.509303333332</v>
      </c>
      <c r="B17" s="6" t="s">
        <v>26</v>
      </c>
      <c r="C17" s="6" t="s">
        <v>27</v>
      </c>
      <c r="D17" s="6" t="s">
        <v>47</v>
      </c>
      <c r="E17" s="6" t="s">
        <v>87</v>
      </c>
      <c r="F17" s="6" t="s">
        <v>40</v>
      </c>
      <c r="G17" s="6" t="s">
        <v>31</v>
      </c>
      <c r="H17" s="6" t="s">
        <v>84</v>
      </c>
      <c r="I17" s="6">
        <v>5</v>
      </c>
      <c r="J17" s="6">
        <v>5</v>
      </c>
      <c r="K17" s="6">
        <v>5</v>
      </c>
      <c r="L17" s="6">
        <v>5</v>
      </c>
      <c r="M17" s="6">
        <v>5</v>
      </c>
      <c r="N17" s="6">
        <v>5</v>
      </c>
      <c r="O17" s="6">
        <v>5</v>
      </c>
      <c r="P17" s="6">
        <v>5</v>
      </c>
      <c r="Q17" s="6">
        <v>5</v>
      </c>
      <c r="R17" s="6">
        <v>1</v>
      </c>
      <c r="S17" s="6">
        <v>4</v>
      </c>
      <c r="T17" s="6">
        <v>5</v>
      </c>
      <c r="U17" s="6">
        <v>5</v>
      </c>
      <c r="V17" s="6" t="s">
        <v>41</v>
      </c>
      <c r="W17" s="6" t="s">
        <v>34</v>
      </c>
      <c r="X17" s="6" t="s">
        <v>88</v>
      </c>
      <c r="Y17" s="6" t="s">
        <v>44</v>
      </c>
      <c r="Z17" s="6" t="s">
        <v>45</v>
      </c>
    </row>
    <row r="18" spans="1:26" ht="22.5" customHeight="1" x14ac:dyDescent="0.25">
      <c r="A18" s="5">
        <v>46132.527618958338</v>
      </c>
      <c r="B18" s="6" t="s">
        <v>69</v>
      </c>
      <c r="C18" s="6" t="s">
        <v>46</v>
      </c>
      <c r="D18" s="6" t="s">
        <v>67</v>
      </c>
      <c r="E18" s="6" t="s">
        <v>39</v>
      </c>
      <c r="F18" s="6" t="s">
        <v>40</v>
      </c>
      <c r="G18" s="6" t="s">
        <v>31</v>
      </c>
      <c r="H18" s="6" t="s">
        <v>32</v>
      </c>
      <c r="I18" s="6">
        <v>5</v>
      </c>
      <c r="J18" s="6">
        <v>5</v>
      </c>
      <c r="K18" s="6">
        <v>2</v>
      </c>
      <c r="L18" s="6">
        <v>1</v>
      </c>
      <c r="M18" s="6">
        <v>4</v>
      </c>
      <c r="N18" s="6">
        <v>4</v>
      </c>
      <c r="O18" s="6">
        <v>3</v>
      </c>
      <c r="P18" s="6">
        <v>3</v>
      </c>
      <c r="Q18" s="6">
        <v>4</v>
      </c>
      <c r="R18" s="6">
        <v>4</v>
      </c>
      <c r="S18" s="6">
        <v>2</v>
      </c>
      <c r="T18" s="6">
        <v>4</v>
      </c>
      <c r="U18" s="6">
        <v>4</v>
      </c>
      <c r="V18" s="6" t="s">
        <v>41</v>
      </c>
      <c r="W18" s="6" t="s">
        <v>42</v>
      </c>
      <c r="X18" s="6" t="s">
        <v>62</v>
      </c>
      <c r="Y18" s="6" t="s">
        <v>74</v>
      </c>
      <c r="Z18" s="6" t="s">
        <v>45</v>
      </c>
    </row>
    <row r="19" spans="1:26" ht="22.5" customHeight="1" x14ac:dyDescent="0.25">
      <c r="A19" s="5">
        <v>46132.531756111115</v>
      </c>
      <c r="B19" s="6" t="s">
        <v>69</v>
      </c>
      <c r="C19" s="6" t="s">
        <v>27</v>
      </c>
      <c r="D19" s="6" t="s">
        <v>47</v>
      </c>
      <c r="E19" s="6" t="s">
        <v>64</v>
      </c>
      <c r="F19" s="6" t="s">
        <v>89</v>
      </c>
      <c r="G19" s="6" t="s">
        <v>31</v>
      </c>
      <c r="H19" s="6" t="s">
        <v>84</v>
      </c>
      <c r="I19" s="6">
        <v>3</v>
      </c>
      <c r="K19" s="6">
        <v>3</v>
      </c>
      <c r="L19" s="6">
        <v>3</v>
      </c>
      <c r="M19" s="6">
        <v>3</v>
      </c>
      <c r="N19" s="6">
        <v>3</v>
      </c>
      <c r="O19" s="6">
        <v>4</v>
      </c>
      <c r="P19" s="6">
        <v>3</v>
      </c>
      <c r="Q19" s="6">
        <v>3</v>
      </c>
      <c r="R19" s="6">
        <v>4</v>
      </c>
      <c r="S19" s="6">
        <v>3</v>
      </c>
      <c r="T19" s="6">
        <v>4</v>
      </c>
      <c r="U19" s="6">
        <v>4</v>
      </c>
      <c r="V19" s="6" t="s">
        <v>41</v>
      </c>
      <c r="W19" s="6" t="s">
        <v>34</v>
      </c>
      <c r="X19" s="6" t="s">
        <v>88</v>
      </c>
      <c r="Y19" s="6" t="s">
        <v>54</v>
      </c>
      <c r="Z19" s="6" t="s">
        <v>45</v>
      </c>
    </row>
    <row r="20" spans="1:26" ht="22.5" customHeight="1" x14ac:dyDescent="0.25">
      <c r="A20" s="5">
        <v>46132.590530648144</v>
      </c>
      <c r="B20" s="6" t="s">
        <v>26</v>
      </c>
      <c r="C20" s="6" t="s">
        <v>27</v>
      </c>
      <c r="D20" s="6" t="s">
        <v>28</v>
      </c>
      <c r="E20" s="6" t="s">
        <v>64</v>
      </c>
      <c r="F20" s="6" t="s">
        <v>71</v>
      </c>
      <c r="G20" s="6" t="s">
        <v>48</v>
      </c>
      <c r="H20" s="6" t="s">
        <v>65</v>
      </c>
      <c r="I20" s="6">
        <v>5</v>
      </c>
      <c r="J20" s="6">
        <v>5</v>
      </c>
      <c r="K20" s="6">
        <v>5</v>
      </c>
      <c r="L20" s="6">
        <v>4</v>
      </c>
      <c r="M20" s="6">
        <v>3</v>
      </c>
      <c r="N20" s="6">
        <v>4</v>
      </c>
      <c r="O20" s="6">
        <v>4</v>
      </c>
      <c r="P20" s="6">
        <v>3</v>
      </c>
      <c r="Q20" s="6">
        <v>4</v>
      </c>
      <c r="R20" s="6">
        <v>3</v>
      </c>
      <c r="S20" s="6">
        <v>3</v>
      </c>
      <c r="T20" s="6">
        <v>4</v>
      </c>
      <c r="U20" s="6">
        <v>4</v>
      </c>
      <c r="V20" s="6" t="s">
        <v>41</v>
      </c>
      <c r="W20" s="6" t="s">
        <v>90</v>
      </c>
      <c r="X20" s="6" t="s">
        <v>73</v>
      </c>
      <c r="Y20" s="6" t="s">
        <v>36</v>
      </c>
      <c r="Z20" s="6" t="s">
        <v>45</v>
      </c>
    </row>
    <row r="21" spans="1:26" ht="22.5" customHeight="1" x14ac:dyDescent="0.25">
      <c r="A21" s="5">
        <v>46132.596851666662</v>
      </c>
      <c r="B21" s="6" t="s">
        <v>69</v>
      </c>
      <c r="C21" s="6" t="s">
        <v>27</v>
      </c>
      <c r="D21" s="6" t="s">
        <v>67</v>
      </c>
      <c r="E21" s="6" t="s">
        <v>70</v>
      </c>
      <c r="F21" s="6" t="s">
        <v>71</v>
      </c>
      <c r="G21" s="6" t="s">
        <v>31</v>
      </c>
      <c r="H21" s="6" t="s">
        <v>32</v>
      </c>
      <c r="I21" s="6">
        <v>4</v>
      </c>
      <c r="J21" s="6">
        <v>4</v>
      </c>
      <c r="K21" s="6">
        <v>5</v>
      </c>
      <c r="L21" s="6">
        <v>1</v>
      </c>
      <c r="M21" s="6">
        <v>1</v>
      </c>
      <c r="N21" s="6">
        <v>1</v>
      </c>
      <c r="O21" s="6">
        <v>5</v>
      </c>
      <c r="P21" s="6">
        <v>3</v>
      </c>
      <c r="Q21" s="6">
        <v>4</v>
      </c>
      <c r="R21" s="6">
        <v>3</v>
      </c>
      <c r="S21" s="6">
        <v>3</v>
      </c>
      <c r="T21" s="6">
        <v>5</v>
      </c>
      <c r="U21" s="6">
        <v>5</v>
      </c>
      <c r="V21" s="6" t="s">
        <v>41</v>
      </c>
      <c r="W21" s="6" t="s">
        <v>34</v>
      </c>
      <c r="X21" s="6" t="s">
        <v>68</v>
      </c>
      <c r="Y21" s="6" t="s">
        <v>74</v>
      </c>
      <c r="Z21" s="6" t="s">
        <v>45</v>
      </c>
    </row>
    <row r="22" spans="1:26" ht="22.5" customHeight="1" x14ac:dyDescent="0.25">
      <c r="A22" s="5">
        <v>46132.597928888892</v>
      </c>
      <c r="B22" s="6" t="s">
        <v>69</v>
      </c>
      <c r="C22" s="6" t="s">
        <v>46</v>
      </c>
      <c r="D22" s="6" t="s">
        <v>50</v>
      </c>
      <c r="E22" s="6" t="s">
        <v>70</v>
      </c>
      <c r="F22" s="6" t="s">
        <v>71</v>
      </c>
      <c r="G22" s="6" t="s">
        <v>31</v>
      </c>
      <c r="H22" s="6" t="s">
        <v>91</v>
      </c>
      <c r="I22" s="6">
        <v>3</v>
      </c>
      <c r="J22" s="6">
        <v>4</v>
      </c>
      <c r="K22" s="6">
        <v>4</v>
      </c>
      <c r="L22" s="6">
        <v>2</v>
      </c>
      <c r="M22" s="6">
        <v>3</v>
      </c>
      <c r="N22" s="6">
        <v>3</v>
      </c>
      <c r="O22" s="6">
        <v>5</v>
      </c>
      <c r="P22" s="6">
        <v>4</v>
      </c>
      <c r="Q22" s="6">
        <v>5</v>
      </c>
      <c r="R22" s="6">
        <v>1</v>
      </c>
      <c r="S22" s="6">
        <v>5</v>
      </c>
      <c r="T22" s="6">
        <v>2</v>
      </c>
      <c r="U22" s="6">
        <v>4</v>
      </c>
      <c r="V22" s="6" t="s">
        <v>41</v>
      </c>
      <c r="W22" s="6" t="s">
        <v>34</v>
      </c>
      <c r="X22" s="6" t="s">
        <v>68</v>
      </c>
      <c r="Y22" s="6" t="s">
        <v>74</v>
      </c>
      <c r="Z22" s="6" t="s">
        <v>45</v>
      </c>
    </row>
    <row r="23" spans="1:26" ht="22.5" customHeight="1" x14ac:dyDescent="0.25">
      <c r="A23" s="5">
        <v>46132.598859062498</v>
      </c>
      <c r="B23" s="6" t="s">
        <v>26</v>
      </c>
      <c r="C23" s="6" t="s">
        <v>27</v>
      </c>
      <c r="D23" s="6" t="s">
        <v>47</v>
      </c>
      <c r="E23" s="6" t="s">
        <v>70</v>
      </c>
      <c r="F23" s="6" t="s">
        <v>92</v>
      </c>
      <c r="G23" s="6" t="s">
        <v>31</v>
      </c>
      <c r="H23" s="6" t="s">
        <v>32</v>
      </c>
      <c r="I23" s="6">
        <v>2</v>
      </c>
      <c r="K23" s="6">
        <v>4</v>
      </c>
      <c r="L23" s="6">
        <v>4</v>
      </c>
      <c r="M23" s="6">
        <v>5</v>
      </c>
      <c r="N23" s="6">
        <v>5</v>
      </c>
      <c r="O23" s="6">
        <v>3</v>
      </c>
      <c r="P23" s="6">
        <v>4</v>
      </c>
      <c r="Q23" s="6">
        <v>5</v>
      </c>
      <c r="R23" s="6">
        <v>2</v>
      </c>
      <c r="S23" s="6">
        <v>3</v>
      </c>
      <c r="T23" s="6">
        <v>1</v>
      </c>
      <c r="U23" s="6">
        <v>2</v>
      </c>
      <c r="V23" s="6" t="s">
        <v>41</v>
      </c>
      <c r="W23" s="6" t="s">
        <v>52</v>
      </c>
      <c r="X23" s="6" t="s">
        <v>49</v>
      </c>
      <c r="Y23" s="6" t="s">
        <v>44</v>
      </c>
      <c r="Z23" s="6" t="s">
        <v>45</v>
      </c>
    </row>
    <row r="24" spans="1:26" ht="22.5" customHeight="1" x14ac:dyDescent="0.25">
      <c r="A24" s="5">
        <v>46132.604563877314</v>
      </c>
      <c r="B24" s="6" t="s">
        <v>38</v>
      </c>
      <c r="C24" s="6" t="s">
        <v>27</v>
      </c>
      <c r="D24" s="6" t="s">
        <v>50</v>
      </c>
      <c r="E24" s="6" t="s">
        <v>70</v>
      </c>
      <c r="F24" s="6" t="s">
        <v>71</v>
      </c>
      <c r="G24" s="6" t="s">
        <v>48</v>
      </c>
      <c r="H24" s="6" t="s">
        <v>57</v>
      </c>
      <c r="I24" s="6">
        <v>3</v>
      </c>
      <c r="J24" s="6">
        <v>3</v>
      </c>
      <c r="K24" s="6">
        <v>5</v>
      </c>
      <c r="L24" s="6">
        <v>4</v>
      </c>
      <c r="M24" s="6">
        <v>5</v>
      </c>
      <c r="N24" s="6">
        <v>4</v>
      </c>
      <c r="O24" s="6">
        <v>4</v>
      </c>
      <c r="P24" s="6">
        <v>5</v>
      </c>
      <c r="Q24" s="6">
        <v>5</v>
      </c>
      <c r="R24" s="6">
        <v>3</v>
      </c>
      <c r="S24" s="6">
        <v>4</v>
      </c>
      <c r="T24" s="6">
        <v>4</v>
      </c>
      <c r="U24" s="6">
        <v>4</v>
      </c>
      <c r="V24" s="6" t="s">
        <v>41</v>
      </c>
      <c r="W24" s="6" t="s">
        <v>34</v>
      </c>
      <c r="X24" s="6" t="s">
        <v>93</v>
      </c>
      <c r="Y24" s="6" t="s">
        <v>44</v>
      </c>
      <c r="Z24" s="6" t="s">
        <v>45</v>
      </c>
    </row>
    <row r="25" spans="1:26" ht="22.5" customHeight="1" x14ac:dyDescent="0.25">
      <c r="A25" s="5">
        <v>46132.610658206017</v>
      </c>
      <c r="B25" s="6" t="s">
        <v>69</v>
      </c>
      <c r="C25" s="6" t="s">
        <v>46</v>
      </c>
      <c r="D25" s="6" t="s">
        <v>67</v>
      </c>
      <c r="E25" s="6" t="s">
        <v>70</v>
      </c>
      <c r="F25" s="6" t="s">
        <v>71</v>
      </c>
      <c r="G25" s="6" t="s">
        <v>31</v>
      </c>
      <c r="H25" s="6" t="s">
        <v>94</v>
      </c>
      <c r="I25" s="6">
        <v>3</v>
      </c>
      <c r="J25" s="6">
        <v>3</v>
      </c>
      <c r="K25" s="6">
        <v>5</v>
      </c>
      <c r="L25" s="6">
        <v>4</v>
      </c>
      <c r="M25" s="6">
        <v>5</v>
      </c>
      <c r="N25" s="6">
        <v>2</v>
      </c>
      <c r="O25" s="6">
        <v>5</v>
      </c>
      <c r="P25" s="6">
        <v>5</v>
      </c>
      <c r="Q25" s="6">
        <v>5</v>
      </c>
      <c r="R25" s="6">
        <v>3</v>
      </c>
      <c r="S25" s="6">
        <v>5</v>
      </c>
      <c r="T25" s="6">
        <v>5</v>
      </c>
      <c r="U25" s="6">
        <v>5</v>
      </c>
      <c r="V25" s="6" t="s">
        <v>41</v>
      </c>
      <c r="W25" s="6" t="s">
        <v>34</v>
      </c>
      <c r="X25" s="6" t="s">
        <v>95</v>
      </c>
      <c r="Y25" s="6" t="s">
        <v>74</v>
      </c>
      <c r="Z25" s="6" t="s">
        <v>45</v>
      </c>
    </row>
    <row r="26" spans="1:26" ht="22.5" customHeight="1" x14ac:dyDescent="0.25">
      <c r="A26" s="5">
        <v>46132.616535983798</v>
      </c>
      <c r="B26" s="6" t="s">
        <v>38</v>
      </c>
      <c r="C26" s="6" t="s">
        <v>96</v>
      </c>
      <c r="D26" s="6" t="s">
        <v>47</v>
      </c>
      <c r="E26" s="6" t="s">
        <v>70</v>
      </c>
      <c r="F26" s="6" t="s">
        <v>71</v>
      </c>
      <c r="G26" s="6" t="s">
        <v>31</v>
      </c>
      <c r="H26" s="6" t="s">
        <v>32</v>
      </c>
      <c r="I26" s="6">
        <v>1</v>
      </c>
      <c r="J26" s="6">
        <v>1</v>
      </c>
      <c r="K26" s="6">
        <v>5</v>
      </c>
      <c r="L26" s="6">
        <v>2</v>
      </c>
      <c r="M26" s="6">
        <v>4</v>
      </c>
      <c r="N26" s="6">
        <v>3</v>
      </c>
      <c r="O26" s="6">
        <v>4</v>
      </c>
      <c r="P26" s="6">
        <v>4</v>
      </c>
      <c r="Q26" s="6">
        <v>3</v>
      </c>
      <c r="R26" s="6">
        <v>3</v>
      </c>
      <c r="S26" s="6">
        <v>2</v>
      </c>
      <c r="T26" s="6">
        <v>3</v>
      </c>
      <c r="U26" s="6">
        <v>3</v>
      </c>
      <c r="V26" s="6" t="s">
        <v>41</v>
      </c>
      <c r="W26" s="6" t="s">
        <v>34</v>
      </c>
      <c r="X26" s="6" t="s">
        <v>97</v>
      </c>
      <c r="Y26" s="6" t="s">
        <v>74</v>
      </c>
      <c r="Z26" s="6" t="s">
        <v>45</v>
      </c>
    </row>
    <row r="27" spans="1:26" ht="22.5" customHeight="1" x14ac:dyDescent="0.25">
      <c r="A27" s="5">
        <v>46132.634856400458</v>
      </c>
      <c r="B27" s="6" t="s">
        <v>26</v>
      </c>
      <c r="C27" s="6" t="s">
        <v>27</v>
      </c>
      <c r="D27" s="6" t="s">
        <v>47</v>
      </c>
      <c r="E27" s="6" t="s">
        <v>70</v>
      </c>
      <c r="F27" s="6" t="s">
        <v>89</v>
      </c>
      <c r="G27" s="6" t="s">
        <v>31</v>
      </c>
      <c r="H27" s="6" t="s">
        <v>91</v>
      </c>
      <c r="I27" s="6">
        <v>4</v>
      </c>
      <c r="J27" s="6">
        <v>5</v>
      </c>
      <c r="K27" s="6">
        <v>5</v>
      </c>
      <c r="L27" s="6">
        <v>3</v>
      </c>
      <c r="M27" s="6">
        <v>5</v>
      </c>
      <c r="N27" s="6">
        <v>4</v>
      </c>
      <c r="O27" s="6">
        <v>4</v>
      </c>
      <c r="P27" s="6">
        <v>3</v>
      </c>
      <c r="Q27" s="6">
        <v>5</v>
      </c>
      <c r="R27" s="6">
        <v>1</v>
      </c>
      <c r="S27" s="6">
        <v>5</v>
      </c>
      <c r="T27" s="6">
        <v>5</v>
      </c>
      <c r="U27" s="6">
        <v>5</v>
      </c>
      <c r="V27" s="6" t="s">
        <v>41</v>
      </c>
      <c r="W27" s="6" t="s">
        <v>42</v>
      </c>
      <c r="X27" s="6" t="s">
        <v>88</v>
      </c>
      <c r="Y27" s="6" t="s">
        <v>44</v>
      </c>
      <c r="Z27" s="6" t="s">
        <v>45</v>
      </c>
    </row>
    <row r="28" spans="1:26" ht="22.5" customHeight="1" x14ac:dyDescent="0.25">
      <c r="A28" s="5">
        <v>46132.637279861112</v>
      </c>
      <c r="B28" s="6" t="s">
        <v>26</v>
      </c>
      <c r="C28" s="6" t="s">
        <v>27</v>
      </c>
      <c r="D28" s="6" t="s">
        <v>47</v>
      </c>
      <c r="E28" s="6" t="s">
        <v>70</v>
      </c>
      <c r="F28" s="6" t="s">
        <v>71</v>
      </c>
      <c r="G28" s="6" t="s">
        <v>31</v>
      </c>
      <c r="H28" s="6" t="s">
        <v>98</v>
      </c>
      <c r="I28" s="6">
        <v>5</v>
      </c>
      <c r="J28" s="6">
        <v>4</v>
      </c>
      <c r="K28" s="6">
        <v>5</v>
      </c>
      <c r="L28" s="6">
        <v>3</v>
      </c>
      <c r="M28" s="6">
        <v>5</v>
      </c>
      <c r="N28" s="6">
        <v>4</v>
      </c>
      <c r="O28" s="6">
        <v>5</v>
      </c>
      <c r="P28" s="6">
        <v>5</v>
      </c>
      <c r="Q28" s="6">
        <v>5</v>
      </c>
      <c r="R28" s="6">
        <v>3</v>
      </c>
      <c r="S28" s="6">
        <v>5</v>
      </c>
      <c r="T28" s="6">
        <v>5</v>
      </c>
      <c r="U28" s="6">
        <v>5</v>
      </c>
      <c r="V28" s="6" t="s">
        <v>41</v>
      </c>
      <c r="W28" s="6" t="s">
        <v>42</v>
      </c>
      <c r="X28" s="6" t="s">
        <v>88</v>
      </c>
      <c r="Y28" s="6" t="s">
        <v>74</v>
      </c>
      <c r="Z28" s="6" t="s">
        <v>45</v>
      </c>
    </row>
    <row r="29" spans="1:26" ht="22.5" customHeight="1" x14ac:dyDescent="0.25">
      <c r="A29" s="5">
        <v>46132.649723263894</v>
      </c>
      <c r="B29" s="6" t="s">
        <v>60</v>
      </c>
      <c r="C29" s="6" t="s">
        <v>27</v>
      </c>
      <c r="D29" s="6" t="s">
        <v>67</v>
      </c>
      <c r="E29" s="6" t="s">
        <v>70</v>
      </c>
      <c r="F29" s="6" t="s">
        <v>71</v>
      </c>
      <c r="G29" s="6" t="s">
        <v>31</v>
      </c>
      <c r="H29" s="6" t="s">
        <v>91</v>
      </c>
      <c r="I29" s="6">
        <v>4</v>
      </c>
      <c r="J29" s="6">
        <v>3</v>
      </c>
      <c r="K29" s="6">
        <v>4</v>
      </c>
      <c r="L29" s="6">
        <v>3</v>
      </c>
      <c r="M29" s="6">
        <v>5</v>
      </c>
      <c r="N29" s="6">
        <v>3</v>
      </c>
      <c r="O29" s="6">
        <v>4</v>
      </c>
      <c r="P29" s="6">
        <v>4</v>
      </c>
      <c r="Q29" s="6">
        <v>4</v>
      </c>
      <c r="R29" s="6">
        <v>3</v>
      </c>
      <c r="S29" s="6">
        <v>4</v>
      </c>
      <c r="T29" s="6">
        <v>4</v>
      </c>
      <c r="U29" s="6">
        <v>3</v>
      </c>
      <c r="V29" s="6" t="s">
        <v>41</v>
      </c>
      <c r="W29" s="6" t="s">
        <v>42</v>
      </c>
      <c r="X29" s="6" t="s">
        <v>68</v>
      </c>
      <c r="Y29" s="6" t="s">
        <v>44</v>
      </c>
      <c r="Z29" s="6" t="s">
        <v>45</v>
      </c>
    </row>
    <row r="30" spans="1:26" ht="22.5" customHeight="1" x14ac:dyDescent="0.25">
      <c r="A30" s="5">
        <v>46132.671270092593</v>
      </c>
      <c r="B30" s="6" t="s">
        <v>26</v>
      </c>
      <c r="C30" s="6" t="s">
        <v>27</v>
      </c>
      <c r="D30" s="6" t="s">
        <v>67</v>
      </c>
      <c r="E30" s="6" t="s">
        <v>99</v>
      </c>
      <c r="F30" s="6" t="s">
        <v>71</v>
      </c>
      <c r="G30" s="6" t="s">
        <v>48</v>
      </c>
      <c r="H30" s="6" t="s">
        <v>91</v>
      </c>
      <c r="I30" s="6">
        <v>5</v>
      </c>
      <c r="J30" s="6">
        <v>5</v>
      </c>
      <c r="K30" s="6">
        <v>5</v>
      </c>
      <c r="L30" s="6">
        <v>3</v>
      </c>
      <c r="M30" s="6">
        <v>5</v>
      </c>
      <c r="N30" s="6">
        <v>5</v>
      </c>
      <c r="O30" s="6">
        <v>5</v>
      </c>
      <c r="P30" s="6">
        <v>5</v>
      </c>
      <c r="Q30" s="6">
        <v>5</v>
      </c>
      <c r="R30" s="6">
        <v>2</v>
      </c>
      <c r="S30" s="6">
        <v>5</v>
      </c>
      <c r="T30" s="6">
        <v>5</v>
      </c>
      <c r="U30" s="6">
        <v>5</v>
      </c>
      <c r="V30" s="6" t="s">
        <v>41</v>
      </c>
      <c r="W30" s="6" t="s">
        <v>34</v>
      </c>
      <c r="X30" s="6" t="s">
        <v>68</v>
      </c>
      <c r="Y30" s="6" t="s">
        <v>74</v>
      </c>
      <c r="Z30" s="6" t="s">
        <v>45</v>
      </c>
    </row>
    <row r="31" spans="1:26" ht="22.5" customHeight="1" x14ac:dyDescent="0.25">
      <c r="A31" s="5">
        <v>46132.903790486111</v>
      </c>
      <c r="B31" s="6" t="s">
        <v>38</v>
      </c>
      <c r="C31" s="6" t="s">
        <v>27</v>
      </c>
      <c r="D31" s="6" t="s">
        <v>28</v>
      </c>
      <c r="E31" s="6" t="s">
        <v>64</v>
      </c>
      <c r="F31" s="6" t="s">
        <v>56</v>
      </c>
      <c r="G31" s="6" t="s">
        <v>31</v>
      </c>
      <c r="H31" s="6" t="s">
        <v>65</v>
      </c>
      <c r="I31" s="6">
        <v>4</v>
      </c>
      <c r="J31" s="6">
        <v>5</v>
      </c>
      <c r="K31" s="6">
        <v>5</v>
      </c>
      <c r="L31" s="6">
        <v>5</v>
      </c>
      <c r="M31" s="6">
        <v>5</v>
      </c>
      <c r="N31" s="6">
        <v>5</v>
      </c>
      <c r="O31" s="6">
        <v>5</v>
      </c>
      <c r="P31" s="6">
        <v>5</v>
      </c>
      <c r="Q31" s="6">
        <v>5</v>
      </c>
      <c r="R31" s="6">
        <v>1</v>
      </c>
      <c r="S31" s="6">
        <v>3</v>
      </c>
      <c r="T31" s="6">
        <v>5</v>
      </c>
      <c r="U31" s="6">
        <v>5</v>
      </c>
      <c r="V31" s="6" t="s">
        <v>41</v>
      </c>
      <c r="W31" s="6" t="s">
        <v>42</v>
      </c>
      <c r="X31" s="6" t="s">
        <v>100</v>
      </c>
      <c r="Y31" s="6" t="s">
        <v>54</v>
      </c>
      <c r="Z31" s="6" t="s">
        <v>45</v>
      </c>
    </row>
    <row r="32" spans="1:26" ht="22.5" customHeight="1" x14ac:dyDescent="0.25">
      <c r="A32" s="5">
        <v>46132.927021747688</v>
      </c>
      <c r="B32" s="6" t="s">
        <v>26</v>
      </c>
      <c r="C32" s="6" t="s">
        <v>27</v>
      </c>
      <c r="D32" s="6" t="s">
        <v>47</v>
      </c>
      <c r="E32" s="6" t="s">
        <v>70</v>
      </c>
      <c r="F32" s="6" t="s">
        <v>71</v>
      </c>
      <c r="G32" s="6" t="s">
        <v>31</v>
      </c>
      <c r="H32" s="6" t="s">
        <v>32</v>
      </c>
      <c r="I32" s="6">
        <v>5</v>
      </c>
      <c r="J32" s="6">
        <v>5</v>
      </c>
      <c r="K32" s="6">
        <v>5</v>
      </c>
      <c r="L32" s="6">
        <v>3</v>
      </c>
      <c r="M32" s="6">
        <v>5</v>
      </c>
      <c r="N32" s="6">
        <v>5</v>
      </c>
      <c r="O32" s="6">
        <v>5</v>
      </c>
      <c r="P32" s="6">
        <v>5</v>
      </c>
      <c r="Q32" s="6">
        <v>5</v>
      </c>
      <c r="R32" s="6">
        <v>1</v>
      </c>
      <c r="S32" s="6">
        <v>4</v>
      </c>
      <c r="T32" s="6">
        <v>5</v>
      </c>
      <c r="U32" s="6">
        <v>4</v>
      </c>
      <c r="V32" s="6" t="s">
        <v>41</v>
      </c>
      <c r="W32" s="6" t="s">
        <v>34</v>
      </c>
      <c r="X32" s="6" t="s">
        <v>68</v>
      </c>
      <c r="Y32" s="6" t="s">
        <v>54</v>
      </c>
      <c r="Z32" s="6" t="s">
        <v>45</v>
      </c>
    </row>
    <row r="33" spans="1:26" ht="22.5" customHeight="1" x14ac:dyDescent="0.25">
      <c r="A33" s="5">
        <v>46133.064129710649</v>
      </c>
      <c r="B33" s="6" t="s">
        <v>69</v>
      </c>
      <c r="C33" s="6" t="s">
        <v>27</v>
      </c>
      <c r="D33" s="6" t="s">
        <v>47</v>
      </c>
      <c r="E33" s="6" t="s">
        <v>64</v>
      </c>
      <c r="F33" s="6" t="s">
        <v>40</v>
      </c>
      <c r="G33" s="6" t="s">
        <v>31</v>
      </c>
      <c r="H33" s="6" t="s">
        <v>101</v>
      </c>
      <c r="I33" s="6">
        <v>5</v>
      </c>
      <c r="J33" s="6">
        <v>5</v>
      </c>
      <c r="K33" s="6">
        <v>5</v>
      </c>
      <c r="L33" s="6">
        <v>1</v>
      </c>
      <c r="M33" s="6">
        <v>4</v>
      </c>
      <c r="N33" s="6">
        <v>3</v>
      </c>
      <c r="O33" s="6">
        <v>1</v>
      </c>
      <c r="P33" s="6">
        <v>1</v>
      </c>
      <c r="Q33" s="6">
        <v>4</v>
      </c>
      <c r="R33" s="6">
        <v>4</v>
      </c>
      <c r="S33" s="6">
        <v>2</v>
      </c>
      <c r="T33" s="6">
        <v>5</v>
      </c>
      <c r="U33" s="6">
        <v>5</v>
      </c>
      <c r="V33" s="6" t="s">
        <v>102</v>
      </c>
      <c r="W33" s="6" t="s">
        <v>34</v>
      </c>
      <c r="X33" s="6" t="s">
        <v>88</v>
      </c>
      <c r="Y33" s="6" t="s">
        <v>44</v>
      </c>
      <c r="Z33" s="6" t="s">
        <v>45</v>
      </c>
    </row>
    <row r="34" spans="1:26" ht="22.5" customHeight="1" x14ac:dyDescent="0.25">
      <c r="A34" s="5">
        <v>46134.463055671295</v>
      </c>
      <c r="B34" s="6" t="s">
        <v>38</v>
      </c>
      <c r="C34" s="6" t="s">
        <v>46</v>
      </c>
      <c r="D34" s="6" t="s">
        <v>67</v>
      </c>
      <c r="E34" s="6" t="s">
        <v>29</v>
      </c>
      <c r="F34" s="6" t="s">
        <v>92</v>
      </c>
      <c r="G34" s="6" t="s">
        <v>31</v>
      </c>
      <c r="H34" s="6" t="s">
        <v>32</v>
      </c>
      <c r="I34" s="6">
        <v>4</v>
      </c>
      <c r="K34" s="6">
        <v>4</v>
      </c>
      <c r="L34" s="6">
        <v>2</v>
      </c>
      <c r="M34" s="6">
        <v>5</v>
      </c>
      <c r="N34" s="6">
        <v>5</v>
      </c>
      <c r="O34" s="6">
        <v>5</v>
      </c>
      <c r="P34" s="6">
        <v>5</v>
      </c>
      <c r="Q34" s="6">
        <v>5</v>
      </c>
      <c r="R34" s="6">
        <v>3</v>
      </c>
      <c r="S34" s="6">
        <v>5</v>
      </c>
      <c r="T34" s="6">
        <v>5</v>
      </c>
      <c r="U34" s="6">
        <v>5</v>
      </c>
      <c r="V34" s="6" t="s">
        <v>41</v>
      </c>
      <c r="W34" s="6" t="s">
        <v>34</v>
      </c>
      <c r="X34" s="6" t="s">
        <v>103</v>
      </c>
      <c r="Y34" s="6" t="s">
        <v>104</v>
      </c>
      <c r="Z34" s="6" t="s">
        <v>45</v>
      </c>
    </row>
    <row r="35" spans="1:26" ht="22.5" customHeight="1" x14ac:dyDescent="0.25">
      <c r="A35" s="5">
        <v>46139.503635567133</v>
      </c>
      <c r="B35" s="6" t="s">
        <v>69</v>
      </c>
      <c r="C35" s="6" t="s">
        <v>27</v>
      </c>
      <c r="D35" s="6" t="s">
        <v>47</v>
      </c>
      <c r="E35" s="6" t="s">
        <v>64</v>
      </c>
      <c r="F35" s="6" t="s">
        <v>71</v>
      </c>
      <c r="G35" s="6" t="s">
        <v>31</v>
      </c>
      <c r="H35" s="6" t="s">
        <v>105</v>
      </c>
      <c r="I35" s="6">
        <v>3</v>
      </c>
      <c r="K35" s="6">
        <v>3</v>
      </c>
      <c r="L35" s="6">
        <v>2</v>
      </c>
      <c r="M35" s="6">
        <v>4</v>
      </c>
      <c r="N35" s="6">
        <v>3</v>
      </c>
      <c r="O35" s="6">
        <v>3</v>
      </c>
      <c r="P35" s="6">
        <v>4</v>
      </c>
      <c r="Q35" s="6">
        <v>4</v>
      </c>
      <c r="R35" s="6">
        <v>4</v>
      </c>
      <c r="S35" s="6">
        <v>5</v>
      </c>
      <c r="T35" s="6">
        <v>1</v>
      </c>
      <c r="U35" s="6">
        <v>5</v>
      </c>
      <c r="V35" s="6" t="s">
        <v>41</v>
      </c>
      <c r="W35" s="6" t="s">
        <v>34</v>
      </c>
      <c r="X35" s="6" t="s">
        <v>68</v>
      </c>
      <c r="Y35" s="6" t="s">
        <v>74</v>
      </c>
      <c r="Z35" s="6" t="s">
        <v>45</v>
      </c>
    </row>
    <row r="36" spans="1:26" ht="22.5" customHeight="1" x14ac:dyDescent="0.25">
      <c r="A36" s="5">
        <v>46139.512522835648</v>
      </c>
      <c r="B36" s="6" t="s">
        <v>38</v>
      </c>
      <c r="C36" s="6" t="s">
        <v>27</v>
      </c>
      <c r="D36" s="6" t="s">
        <v>67</v>
      </c>
      <c r="E36" s="6" t="s">
        <v>99</v>
      </c>
      <c r="F36" s="6" t="s">
        <v>89</v>
      </c>
      <c r="G36" s="6" t="s">
        <v>48</v>
      </c>
      <c r="H36" s="6" t="s">
        <v>32</v>
      </c>
      <c r="I36" s="6">
        <v>3</v>
      </c>
      <c r="J36" s="6">
        <v>4</v>
      </c>
      <c r="K36" s="6">
        <v>2</v>
      </c>
      <c r="L36" s="6">
        <v>2</v>
      </c>
      <c r="M36" s="6">
        <v>2</v>
      </c>
      <c r="N36" s="6">
        <v>2</v>
      </c>
      <c r="O36" s="6">
        <v>2</v>
      </c>
      <c r="P36" s="6">
        <v>2</v>
      </c>
      <c r="Q36" s="6">
        <v>3</v>
      </c>
      <c r="R36" s="6">
        <v>4</v>
      </c>
      <c r="S36" s="6">
        <v>3</v>
      </c>
      <c r="T36" s="6">
        <v>4</v>
      </c>
      <c r="U36" s="6">
        <v>4</v>
      </c>
      <c r="V36" s="6" t="s">
        <v>102</v>
      </c>
      <c r="W36" s="6" t="s">
        <v>42</v>
      </c>
      <c r="X36" s="6" t="s">
        <v>68</v>
      </c>
      <c r="Y36" s="6" t="s">
        <v>36</v>
      </c>
      <c r="Z36" s="6" t="s">
        <v>45</v>
      </c>
    </row>
    <row r="37" spans="1:26" ht="22.5" customHeight="1" x14ac:dyDescent="0.25">
      <c r="A37" s="5">
        <v>46139.635486967592</v>
      </c>
      <c r="B37" s="6" t="s">
        <v>38</v>
      </c>
      <c r="C37" s="6" t="s">
        <v>46</v>
      </c>
      <c r="D37" s="6" t="s">
        <v>28</v>
      </c>
      <c r="E37" s="6" t="s">
        <v>39</v>
      </c>
      <c r="F37" s="6" t="s">
        <v>40</v>
      </c>
      <c r="G37" s="6" t="s">
        <v>31</v>
      </c>
      <c r="H37" s="6" t="s">
        <v>91</v>
      </c>
      <c r="I37" s="6">
        <v>5</v>
      </c>
      <c r="K37" s="6">
        <v>5</v>
      </c>
      <c r="L37" s="6">
        <v>3</v>
      </c>
      <c r="M37" s="6">
        <v>3</v>
      </c>
      <c r="N37" s="6">
        <v>3</v>
      </c>
      <c r="O37" s="6">
        <v>5</v>
      </c>
      <c r="P37" s="6">
        <v>3</v>
      </c>
      <c r="Q37" s="6">
        <v>5</v>
      </c>
      <c r="R37" s="6">
        <v>3</v>
      </c>
      <c r="S37" s="6">
        <v>4</v>
      </c>
      <c r="T37" s="6">
        <v>3</v>
      </c>
      <c r="U37" s="6">
        <v>5</v>
      </c>
      <c r="V37" s="6" t="s">
        <v>33</v>
      </c>
      <c r="W37" s="6" t="s">
        <v>42</v>
      </c>
      <c r="X37" s="6" t="s">
        <v>88</v>
      </c>
      <c r="Y37" s="6" t="s">
        <v>74</v>
      </c>
      <c r="Z37" s="6" t="s">
        <v>45</v>
      </c>
    </row>
    <row r="38" spans="1:26" ht="22.5" customHeight="1" x14ac:dyDescent="0.25">
      <c r="A38" s="5">
        <v>46140.574106655091</v>
      </c>
      <c r="B38" s="6" t="s">
        <v>26</v>
      </c>
      <c r="C38" s="6" t="s">
        <v>27</v>
      </c>
      <c r="D38" s="6" t="s">
        <v>50</v>
      </c>
      <c r="E38" s="6" t="s">
        <v>64</v>
      </c>
      <c r="F38" s="6" t="s">
        <v>40</v>
      </c>
      <c r="G38" s="6" t="s">
        <v>31</v>
      </c>
      <c r="H38" s="6" t="s">
        <v>106</v>
      </c>
      <c r="I38" s="6">
        <v>1</v>
      </c>
      <c r="J38" s="6">
        <v>2</v>
      </c>
      <c r="K38" s="6">
        <v>3</v>
      </c>
      <c r="L38" s="6">
        <v>3</v>
      </c>
      <c r="M38" s="6">
        <v>5</v>
      </c>
      <c r="N38" s="6">
        <v>4</v>
      </c>
      <c r="O38" s="6">
        <v>5</v>
      </c>
      <c r="P38" s="6">
        <v>3</v>
      </c>
      <c r="Q38" s="6">
        <v>4</v>
      </c>
      <c r="R38" s="6">
        <v>4</v>
      </c>
      <c r="S38" s="6">
        <v>2</v>
      </c>
      <c r="T38" s="6">
        <v>2</v>
      </c>
      <c r="U38" s="6">
        <v>2</v>
      </c>
      <c r="V38" s="6" t="s">
        <v>41</v>
      </c>
      <c r="W38" s="6" t="s">
        <v>42</v>
      </c>
      <c r="X38" s="6" t="s">
        <v>88</v>
      </c>
      <c r="Y38" s="6" t="s">
        <v>54</v>
      </c>
      <c r="Z38" s="6" t="s">
        <v>45</v>
      </c>
    </row>
    <row r="39" spans="1:26" ht="22.5" customHeight="1" x14ac:dyDescent="0.25">
      <c r="A39" s="5">
        <v>46155.453148298606</v>
      </c>
      <c r="B39" s="6" t="s">
        <v>69</v>
      </c>
      <c r="C39" s="6" t="s">
        <v>27</v>
      </c>
      <c r="D39" s="6" t="s">
        <v>67</v>
      </c>
      <c r="E39" s="6" t="s">
        <v>64</v>
      </c>
      <c r="F39" s="6" t="s">
        <v>40</v>
      </c>
      <c r="G39" s="6" t="s">
        <v>31</v>
      </c>
      <c r="H39" s="6" t="s">
        <v>105</v>
      </c>
      <c r="I39" s="6">
        <v>1</v>
      </c>
      <c r="J39" s="6">
        <v>3</v>
      </c>
      <c r="K39" s="6">
        <v>2</v>
      </c>
      <c r="L39" s="6">
        <v>1</v>
      </c>
      <c r="M39" s="6">
        <v>4</v>
      </c>
      <c r="N39" s="6">
        <v>4</v>
      </c>
      <c r="O39" s="6">
        <v>4</v>
      </c>
      <c r="P39" s="6">
        <v>3</v>
      </c>
      <c r="Q39" s="6">
        <v>4</v>
      </c>
      <c r="R39" s="6">
        <v>5</v>
      </c>
      <c r="S39" s="6">
        <v>3</v>
      </c>
      <c r="T39" s="6">
        <v>5</v>
      </c>
      <c r="U39" s="6">
        <v>5</v>
      </c>
      <c r="V39" s="6" t="s">
        <v>41</v>
      </c>
      <c r="W39" s="6" t="s">
        <v>34</v>
      </c>
      <c r="X39" s="6" t="s">
        <v>62</v>
      </c>
      <c r="Y39" s="6" t="s">
        <v>74</v>
      </c>
      <c r="Z39" s="6" t="s">
        <v>45</v>
      </c>
    </row>
    <row r="40" spans="1:26" ht="22.5" customHeight="1" x14ac:dyDescent="0.25">
      <c r="A40" s="5">
        <v>46163.364140659723</v>
      </c>
      <c r="B40" s="6" t="s">
        <v>82</v>
      </c>
      <c r="C40" s="6" t="s">
        <v>27</v>
      </c>
      <c r="D40" s="6" t="s">
        <v>67</v>
      </c>
      <c r="E40" s="6" t="s">
        <v>70</v>
      </c>
      <c r="F40" s="6" t="s">
        <v>92</v>
      </c>
      <c r="G40" s="6" t="s">
        <v>31</v>
      </c>
      <c r="H40" s="6" t="s">
        <v>91</v>
      </c>
      <c r="I40" s="6">
        <v>1</v>
      </c>
      <c r="J40" s="6">
        <v>2</v>
      </c>
      <c r="K40" s="6">
        <v>4</v>
      </c>
      <c r="L40" s="6">
        <v>1</v>
      </c>
      <c r="M40" s="6">
        <v>3</v>
      </c>
      <c r="N40" s="6">
        <v>5</v>
      </c>
      <c r="O40" s="6">
        <v>3</v>
      </c>
      <c r="P40" s="6">
        <v>4</v>
      </c>
      <c r="Q40" s="6">
        <v>3</v>
      </c>
      <c r="R40" s="6">
        <v>5</v>
      </c>
      <c r="S40" s="6">
        <v>3</v>
      </c>
      <c r="T40" s="6">
        <v>5</v>
      </c>
      <c r="U40" s="6">
        <v>5</v>
      </c>
      <c r="V40" s="6" t="s">
        <v>41</v>
      </c>
      <c r="W40" s="6" t="s">
        <v>34</v>
      </c>
      <c r="X40" s="6" t="s">
        <v>68</v>
      </c>
      <c r="Y40" s="6" t="s">
        <v>74</v>
      </c>
      <c r="Z40" s="6" t="s">
        <v>45</v>
      </c>
    </row>
    <row r="41" spans="1:26" ht="22.5" customHeight="1" x14ac:dyDescent="0.25">
      <c r="A41" s="5">
        <v>46163.369730081016</v>
      </c>
      <c r="B41" s="6" t="s">
        <v>38</v>
      </c>
      <c r="C41" s="6" t="s">
        <v>46</v>
      </c>
      <c r="D41" s="6" t="s">
        <v>47</v>
      </c>
      <c r="E41" s="6" t="s">
        <v>29</v>
      </c>
      <c r="F41" s="6" t="s">
        <v>79</v>
      </c>
      <c r="G41" s="6" t="s">
        <v>107</v>
      </c>
      <c r="H41" s="6" t="s">
        <v>57</v>
      </c>
      <c r="I41" s="6">
        <v>3</v>
      </c>
      <c r="J41" s="6">
        <v>5</v>
      </c>
      <c r="K41" s="6">
        <v>3</v>
      </c>
      <c r="L41" s="6">
        <v>2</v>
      </c>
      <c r="M41" s="6">
        <v>1</v>
      </c>
      <c r="N41" s="6">
        <v>1</v>
      </c>
      <c r="O41" s="6">
        <v>3</v>
      </c>
      <c r="P41" s="6">
        <v>3</v>
      </c>
      <c r="Q41" s="6">
        <v>4</v>
      </c>
      <c r="R41" s="6">
        <v>3</v>
      </c>
      <c r="S41" s="6">
        <v>3</v>
      </c>
      <c r="T41" s="6">
        <v>5</v>
      </c>
      <c r="U41" s="6">
        <v>5</v>
      </c>
      <c r="V41" s="6" t="s">
        <v>41</v>
      </c>
      <c r="W41" s="6" t="s">
        <v>42</v>
      </c>
      <c r="X41" s="6" t="s">
        <v>68</v>
      </c>
      <c r="Y41" s="6" t="s">
        <v>36</v>
      </c>
      <c r="Z41" s="6" t="s">
        <v>45</v>
      </c>
    </row>
    <row r="42" spans="1:26" ht="22.5" customHeight="1" x14ac:dyDescent="0.25">
      <c r="A42" s="5">
        <v>46163.370806458333</v>
      </c>
      <c r="B42" s="6" t="s">
        <v>38</v>
      </c>
      <c r="C42" s="6" t="s">
        <v>27</v>
      </c>
      <c r="D42" s="6" t="s">
        <v>28</v>
      </c>
      <c r="E42" s="6" t="s">
        <v>70</v>
      </c>
      <c r="F42" s="6" t="s">
        <v>92</v>
      </c>
      <c r="G42" s="6" t="s">
        <v>31</v>
      </c>
      <c r="H42" s="6" t="s">
        <v>91</v>
      </c>
      <c r="I42" s="6">
        <v>3</v>
      </c>
      <c r="J42" s="6">
        <v>4</v>
      </c>
      <c r="K42" s="6">
        <v>4</v>
      </c>
      <c r="L42" s="6">
        <v>4</v>
      </c>
      <c r="M42" s="6">
        <v>5</v>
      </c>
      <c r="N42" s="6">
        <v>5</v>
      </c>
      <c r="O42" s="6">
        <v>4</v>
      </c>
      <c r="P42" s="6">
        <v>4</v>
      </c>
      <c r="Q42" s="6">
        <v>4</v>
      </c>
      <c r="R42" s="6">
        <v>1</v>
      </c>
      <c r="S42" s="6">
        <v>2</v>
      </c>
      <c r="T42" s="6">
        <v>5</v>
      </c>
      <c r="U42" s="6">
        <v>3</v>
      </c>
      <c r="V42" s="6" t="s">
        <v>41</v>
      </c>
      <c r="W42" s="6" t="s">
        <v>42</v>
      </c>
      <c r="X42" s="6" t="s">
        <v>49</v>
      </c>
      <c r="Y42" s="6" t="s">
        <v>74</v>
      </c>
      <c r="Z42" s="6" t="s">
        <v>45</v>
      </c>
    </row>
    <row r="43" spans="1:26" ht="22.5" customHeight="1" x14ac:dyDescent="0.25">
      <c r="A43" s="5">
        <v>46163.373661377314</v>
      </c>
      <c r="B43" s="6" t="s">
        <v>26</v>
      </c>
      <c r="C43" s="6" t="s">
        <v>27</v>
      </c>
      <c r="D43" s="6" t="s">
        <v>28</v>
      </c>
      <c r="E43" s="6" t="s">
        <v>70</v>
      </c>
      <c r="F43" s="6" t="s">
        <v>71</v>
      </c>
      <c r="G43" s="6" t="s">
        <v>31</v>
      </c>
      <c r="H43" s="6" t="s">
        <v>32</v>
      </c>
      <c r="I43" s="6">
        <v>2</v>
      </c>
      <c r="J43" s="6">
        <v>5</v>
      </c>
      <c r="K43" s="6">
        <v>4</v>
      </c>
      <c r="L43" s="6">
        <v>3</v>
      </c>
      <c r="M43" s="6">
        <v>4</v>
      </c>
      <c r="N43" s="6">
        <v>4</v>
      </c>
      <c r="O43" s="6">
        <v>4</v>
      </c>
      <c r="P43" s="6">
        <v>3</v>
      </c>
      <c r="Q43" s="6">
        <v>5</v>
      </c>
      <c r="R43" s="6">
        <v>4</v>
      </c>
      <c r="S43" s="6">
        <v>4</v>
      </c>
      <c r="T43" s="6">
        <v>4</v>
      </c>
      <c r="U43" s="6">
        <v>4</v>
      </c>
      <c r="V43" s="6" t="s">
        <v>41</v>
      </c>
      <c r="W43" s="6" t="s">
        <v>42</v>
      </c>
      <c r="X43" s="6" t="s">
        <v>49</v>
      </c>
      <c r="Y43" s="6" t="s">
        <v>44</v>
      </c>
      <c r="Z43" s="6" t="s">
        <v>45</v>
      </c>
    </row>
    <row r="44" spans="1:26" ht="22.5" customHeight="1" x14ac:dyDescent="0.25">
      <c r="A44" s="5">
        <v>46163.378148506948</v>
      </c>
      <c r="B44" s="6" t="s">
        <v>26</v>
      </c>
      <c r="C44" s="6" t="s">
        <v>27</v>
      </c>
      <c r="D44" s="6" t="s">
        <v>50</v>
      </c>
      <c r="E44" s="6" t="s">
        <v>61</v>
      </c>
      <c r="F44" s="6" t="s">
        <v>71</v>
      </c>
      <c r="G44" s="6" t="s">
        <v>48</v>
      </c>
      <c r="H44" s="6" t="s">
        <v>32</v>
      </c>
      <c r="I44" s="6">
        <v>4</v>
      </c>
      <c r="K44" s="6">
        <v>5</v>
      </c>
      <c r="L44" s="6">
        <v>5</v>
      </c>
      <c r="M44" s="6">
        <v>5</v>
      </c>
      <c r="N44" s="6">
        <v>5</v>
      </c>
      <c r="O44" s="6">
        <v>5</v>
      </c>
      <c r="P44" s="6">
        <v>5</v>
      </c>
      <c r="Q44" s="6">
        <v>5</v>
      </c>
      <c r="R44" s="6">
        <v>2</v>
      </c>
      <c r="S44" s="6">
        <v>4</v>
      </c>
      <c r="T44" s="6">
        <v>5</v>
      </c>
      <c r="U44" s="6">
        <v>4</v>
      </c>
      <c r="V44" s="6" t="s">
        <v>41</v>
      </c>
      <c r="W44" s="6" t="s">
        <v>42</v>
      </c>
      <c r="X44" s="6" t="s">
        <v>62</v>
      </c>
      <c r="Y44" s="6" t="s">
        <v>54</v>
      </c>
      <c r="Z44" s="6" t="s">
        <v>45</v>
      </c>
    </row>
    <row r="45" spans="1:26" ht="22.5" customHeight="1" x14ac:dyDescent="0.25">
      <c r="A45" s="5">
        <v>46175.019227349534</v>
      </c>
      <c r="B45" s="6" t="s">
        <v>38</v>
      </c>
      <c r="C45" s="6" t="s">
        <v>46</v>
      </c>
      <c r="D45" s="6" t="s">
        <v>47</v>
      </c>
      <c r="E45" s="6" t="s">
        <v>29</v>
      </c>
      <c r="F45" s="6" t="s">
        <v>79</v>
      </c>
      <c r="G45" s="6" t="s">
        <v>107</v>
      </c>
      <c r="H45" s="6" t="s">
        <v>32</v>
      </c>
      <c r="I45" s="6">
        <v>5</v>
      </c>
      <c r="K45" s="6">
        <v>5</v>
      </c>
      <c r="L45" s="6">
        <v>1</v>
      </c>
      <c r="M45" s="6">
        <v>3</v>
      </c>
      <c r="N45" s="6">
        <v>3</v>
      </c>
      <c r="O45" s="6">
        <v>2</v>
      </c>
      <c r="P45" s="6">
        <v>3</v>
      </c>
      <c r="Q45" s="6">
        <v>3</v>
      </c>
      <c r="R45" s="6">
        <v>3</v>
      </c>
      <c r="S45" s="6">
        <v>3</v>
      </c>
      <c r="T45" s="6">
        <v>5</v>
      </c>
      <c r="U45" s="6">
        <v>1</v>
      </c>
      <c r="V45" s="6" t="s">
        <v>41</v>
      </c>
      <c r="W45" s="6" t="s">
        <v>34</v>
      </c>
      <c r="X45" s="6" t="s">
        <v>68</v>
      </c>
      <c r="Y45" s="6" t="s">
        <v>36</v>
      </c>
      <c r="Z45" s="6" t="s">
        <v>45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B5DEB-538A-4EFA-AD7C-F0CFBEAFDE1D}">
  <dimension ref="A3:G11"/>
  <sheetViews>
    <sheetView workbookViewId="0">
      <selection activeCell="B8" sqref="B8"/>
    </sheetView>
  </sheetViews>
  <sheetFormatPr defaultRowHeight="13.5" x14ac:dyDescent="0.25"/>
  <cols>
    <col min="1" max="1" width="123.140625" bestFit="1" customWidth="1"/>
    <col min="2" max="2" width="16.7109375" bestFit="1" customWidth="1"/>
    <col min="3" max="4" width="2" bestFit="1" customWidth="1"/>
    <col min="5" max="6" width="3" bestFit="1" customWidth="1"/>
    <col min="7" max="7" width="12.140625" bestFit="1" customWidth="1"/>
  </cols>
  <sheetData>
    <row r="3" spans="1:7" x14ac:dyDescent="0.25">
      <c r="A3" s="7" t="s">
        <v>115</v>
      </c>
      <c r="B3" s="7" t="s">
        <v>116</v>
      </c>
      <c r="C3" s="18"/>
      <c r="D3" s="18"/>
      <c r="E3" s="18"/>
      <c r="F3" s="18"/>
      <c r="G3" s="19"/>
    </row>
    <row r="4" spans="1:7" x14ac:dyDescent="0.25">
      <c r="A4" s="7" t="s">
        <v>108</v>
      </c>
      <c r="B4" s="15">
        <v>1</v>
      </c>
      <c r="C4" s="20">
        <v>2</v>
      </c>
      <c r="D4" s="20">
        <v>3</v>
      </c>
      <c r="E4" s="20">
        <v>4</v>
      </c>
      <c r="F4" s="20">
        <v>5</v>
      </c>
      <c r="G4" s="8" t="s">
        <v>109</v>
      </c>
    </row>
    <row r="5" spans="1:7" x14ac:dyDescent="0.25">
      <c r="A5" s="9" t="s">
        <v>104</v>
      </c>
      <c r="B5" s="21"/>
      <c r="C5" s="22"/>
      <c r="D5" s="22"/>
      <c r="E5" s="22"/>
      <c r="F5" s="22">
        <v>1</v>
      </c>
      <c r="G5" s="10">
        <v>1</v>
      </c>
    </row>
    <row r="6" spans="1:7" x14ac:dyDescent="0.25">
      <c r="A6" s="12" t="s">
        <v>36</v>
      </c>
      <c r="B6" s="23">
        <v>1</v>
      </c>
      <c r="C6" s="24"/>
      <c r="D6" s="24">
        <v>1</v>
      </c>
      <c r="E6" s="24">
        <v>2</v>
      </c>
      <c r="F6" s="24">
        <v>2</v>
      </c>
      <c r="G6" s="11">
        <v>6</v>
      </c>
    </row>
    <row r="7" spans="1:7" x14ac:dyDescent="0.25">
      <c r="A7" s="12" t="s">
        <v>44</v>
      </c>
      <c r="B7" s="23"/>
      <c r="C7" s="24">
        <v>1</v>
      </c>
      <c r="D7" s="24">
        <v>1</v>
      </c>
      <c r="E7" s="24">
        <v>3</v>
      </c>
      <c r="F7" s="24">
        <v>4</v>
      </c>
      <c r="G7" s="11">
        <v>9</v>
      </c>
    </row>
    <row r="8" spans="1:7" x14ac:dyDescent="0.25">
      <c r="A8" s="12" t="s">
        <v>54</v>
      </c>
      <c r="B8" s="23"/>
      <c r="C8" s="24">
        <v>1</v>
      </c>
      <c r="D8" s="24"/>
      <c r="E8" s="24">
        <v>4</v>
      </c>
      <c r="F8" s="24">
        <v>6</v>
      </c>
      <c r="G8" s="11">
        <v>11</v>
      </c>
    </row>
    <row r="9" spans="1:7" x14ac:dyDescent="0.25">
      <c r="A9" s="12" t="s">
        <v>74</v>
      </c>
      <c r="B9" s="23"/>
      <c r="C9" s="24">
        <v>1</v>
      </c>
      <c r="D9" s="24">
        <v>2</v>
      </c>
      <c r="E9" s="24">
        <v>5</v>
      </c>
      <c r="F9" s="24">
        <v>8</v>
      </c>
      <c r="G9" s="11">
        <v>16</v>
      </c>
    </row>
    <row r="10" spans="1:7" x14ac:dyDescent="0.25">
      <c r="A10" s="12" t="s">
        <v>63</v>
      </c>
      <c r="B10" s="23"/>
      <c r="C10" s="24"/>
      <c r="D10" s="24"/>
      <c r="E10" s="24"/>
      <c r="F10" s="24">
        <v>1</v>
      </c>
      <c r="G10" s="11">
        <v>1</v>
      </c>
    </row>
    <row r="11" spans="1:7" x14ac:dyDescent="0.25">
      <c r="A11" s="13" t="s">
        <v>109</v>
      </c>
      <c r="B11" s="25">
        <v>1</v>
      </c>
      <c r="C11" s="26">
        <v>3</v>
      </c>
      <c r="D11" s="26">
        <v>4</v>
      </c>
      <c r="E11" s="26">
        <v>14</v>
      </c>
      <c r="F11" s="26">
        <v>22</v>
      </c>
      <c r="G11" s="14">
        <v>44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8BA54-F209-4724-BB69-EBAE58D9E972}">
  <dimension ref="A1:V562"/>
  <sheetViews>
    <sheetView topLeftCell="A174" zoomScale="70" zoomScaleNormal="70" workbookViewId="0">
      <selection activeCell="A189" sqref="A189:A193"/>
    </sheetView>
  </sheetViews>
  <sheetFormatPr defaultRowHeight="13.5" x14ac:dyDescent="0.25"/>
  <cols>
    <col min="1" max="1" width="36.85546875" customWidth="1"/>
  </cols>
  <sheetData>
    <row r="1" spans="1:22" x14ac:dyDescent="0.25">
      <c r="B1" s="17" t="s">
        <v>1</v>
      </c>
    </row>
    <row r="2" spans="1:22" x14ac:dyDescent="0.25">
      <c r="A2" t="s">
        <v>82</v>
      </c>
      <c r="B2">
        <v>4</v>
      </c>
    </row>
    <row r="3" spans="1:22" x14ac:dyDescent="0.25">
      <c r="A3" t="s">
        <v>69</v>
      </c>
      <c r="B3">
        <v>10</v>
      </c>
      <c r="R3" t="s">
        <v>82</v>
      </c>
      <c r="S3" t="s">
        <v>69</v>
      </c>
      <c r="T3" t="s">
        <v>38</v>
      </c>
      <c r="U3" t="s">
        <v>26</v>
      </c>
      <c r="V3" t="s">
        <v>60</v>
      </c>
    </row>
    <row r="4" spans="1:22" x14ac:dyDescent="0.25">
      <c r="A4" t="s">
        <v>38</v>
      </c>
      <c r="B4">
        <v>16</v>
      </c>
      <c r="Q4" t="s">
        <v>96</v>
      </c>
      <c r="R4" s="27"/>
      <c r="S4" s="27"/>
      <c r="T4" s="27">
        <f>1/$R$7</f>
        <v>2.2727272727272728E-2</v>
      </c>
      <c r="U4" s="27"/>
      <c r="V4" s="27"/>
    </row>
    <row r="5" spans="1:22" x14ac:dyDescent="0.25">
      <c r="A5" t="s">
        <v>26</v>
      </c>
      <c r="B5">
        <v>11</v>
      </c>
      <c r="Q5" t="s">
        <v>27</v>
      </c>
      <c r="R5" s="27">
        <f>4/$R$7</f>
        <v>9.0909090909090912E-2</v>
      </c>
      <c r="S5" s="27">
        <f>7/$R$7</f>
        <v>0.15909090909090909</v>
      </c>
      <c r="T5" s="27">
        <f>8/$R$7</f>
        <v>0.18181818181818182</v>
      </c>
      <c r="U5" s="27">
        <f>11/$R$7</f>
        <v>0.25</v>
      </c>
      <c r="V5" s="27">
        <f>2/$R$7</f>
        <v>4.5454545454545456E-2</v>
      </c>
    </row>
    <row r="6" spans="1:22" x14ac:dyDescent="0.25">
      <c r="A6" t="s">
        <v>60</v>
      </c>
      <c r="B6">
        <v>3</v>
      </c>
      <c r="Q6" t="s">
        <v>46</v>
      </c>
      <c r="R6" s="27"/>
      <c r="S6" s="27">
        <f>3/$R$7</f>
        <v>6.8181818181818177E-2</v>
      </c>
      <c r="T6" s="27">
        <f>7/$R$7</f>
        <v>0.15909090909090909</v>
      </c>
      <c r="U6" s="27"/>
      <c r="V6" s="27">
        <f>1/$R$7</f>
        <v>2.2727272727272728E-2</v>
      </c>
    </row>
    <row r="7" spans="1:22" x14ac:dyDescent="0.25">
      <c r="R7">
        <v>44</v>
      </c>
    </row>
    <row r="22" spans="1:2" x14ac:dyDescent="0.25">
      <c r="A22" t="s">
        <v>108</v>
      </c>
      <c r="B22" s="17" t="s">
        <v>2</v>
      </c>
    </row>
    <row r="23" spans="1:2" x14ac:dyDescent="0.25">
      <c r="A23" t="s">
        <v>96</v>
      </c>
      <c r="B23">
        <v>1</v>
      </c>
    </row>
    <row r="24" spans="1:2" x14ac:dyDescent="0.25">
      <c r="A24" t="s">
        <v>27</v>
      </c>
      <c r="B24">
        <v>32</v>
      </c>
    </row>
    <row r="25" spans="1:2" x14ac:dyDescent="0.25">
      <c r="A25" t="s">
        <v>46</v>
      </c>
      <c r="B25">
        <v>11</v>
      </c>
    </row>
    <row r="44" spans="1:2" x14ac:dyDescent="0.25">
      <c r="A44" t="s">
        <v>108</v>
      </c>
      <c r="B44" s="17" t="s">
        <v>6</v>
      </c>
    </row>
    <row r="45" spans="1:2" x14ac:dyDescent="0.25">
      <c r="A45" t="s">
        <v>107</v>
      </c>
      <c r="B45">
        <v>2</v>
      </c>
    </row>
    <row r="46" spans="1:2" x14ac:dyDescent="0.25">
      <c r="A46" t="s">
        <v>31</v>
      </c>
      <c r="B46">
        <v>30</v>
      </c>
    </row>
    <row r="47" spans="1:2" x14ac:dyDescent="0.25">
      <c r="A47" t="s">
        <v>48</v>
      </c>
      <c r="B47">
        <v>9</v>
      </c>
    </row>
    <row r="48" spans="1:2" x14ac:dyDescent="0.25">
      <c r="A48" t="s">
        <v>85</v>
      </c>
      <c r="B48">
        <v>2</v>
      </c>
    </row>
    <row r="49" spans="1:2" x14ac:dyDescent="0.25">
      <c r="A49" t="s">
        <v>83</v>
      </c>
      <c r="B49">
        <v>1</v>
      </c>
    </row>
    <row r="69" spans="1:2" x14ac:dyDescent="0.25">
      <c r="A69" t="s">
        <v>108</v>
      </c>
      <c r="B69" s="17" t="s">
        <v>3</v>
      </c>
    </row>
    <row r="70" spans="1:2" x14ac:dyDescent="0.25">
      <c r="A70" t="s">
        <v>50</v>
      </c>
      <c r="B70">
        <v>8</v>
      </c>
    </row>
    <row r="71" spans="1:2" x14ac:dyDescent="0.25">
      <c r="A71" t="s">
        <v>28</v>
      </c>
      <c r="B71">
        <v>10</v>
      </c>
    </row>
    <row r="72" spans="1:2" x14ac:dyDescent="0.25">
      <c r="A72" t="s">
        <v>67</v>
      </c>
      <c r="B72">
        <v>13</v>
      </c>
    </row>
    <row r="73" spans="1:2" x14ac:dyDescent="0.25">
      <c r="A73" t="s">
        <v>47</v>
      </c>
      <c r="B73">
        <v>13</v>
      </c>
    </row>
    <row r="74" spans="1:2" x14ac:dyDescent="0.25">
      <c r="A74" t="s">
        <v>109</v>
      </c>
      <c r="B74">
        <v>44</v>
      </c>
    </row>
    <row r="97" spans="1:3" x14ac:dyDescent="0.25">
      <c r="A97" t="s">
        <v>4</v>
      </c>
    </row>
    <row r="98" spans="1:3" x14ac:dyDescent="0.25">
      <c r="A98" t="s">
        <v>29</v>
      </c>
      <c r="B98">
        <v>5</v>
      </c>
      <c r="C98" s="27">
        <f>B98/$B$107</f>
        <v>0.11363636363636363</v>
      </c>
    </row>
    <row r="99" spans="1:3" x14ac:dyDescent="0.25">
      <c r="A99" t="s">
        <v>99</v>
      </c>
      <c r="B99">
        <v>2</v>
      </c>
      <c r="C99" s="27">
        <f t="shared" ref="C99:C106" si="0">B99/$B$107</f>
        <v>4.5454545454545456E-2</v>
      </c>
    </row>
    <row r="100" spans="1:3" x14ac:dyDescent="0.25">
      <c r="A100" t="s">
        <v>87</v>
      </c>
      <c r="B100">
        <v>1</v>
      </c>
      <c r="C100" s="27">
        <f t="shared" si="0"/>
        <v>2.2727272727272728E-2</v>
      </c>
    </row>
    <row r="101" spans="1:3" x14ac:dyDescent="0.25">
      <c r="A101" t="s">
        <v>55</v>
      </c>
      <c r="B101">
        <v>2</v>
      </c>
      <c r="C101" s="27">
        <f t="shared" si="0"/>
        <v>4.5454545454545456E-2</v>
      </c>
    </row>
    <row r="102" spans="1:3" x14ac:dyDescent="0.25">
      <c r="A102" t="s">
        <v>77</v>
      </c>
      <c r="B102">
        <v>1</v>
      </c>
      <c r="C102" s="27">
        <f t="shared" si="0"/>
        <v>2.2727272727272728E-2</v>
      </c>
    </row>
    <row r="103" spans="1:3" x14ac:dyDescent="0.25">
      <c r="A103" t="s">
        <v>70</v>
      </c>
      <c r="B103">
        <v>17</v>
      </c>
      <c r="C103" s="27">
        <f t="shared" si="0"/>
        <v>0.38636363636363635</v>
      </c>
    </row>
    <row r="104" spans="1:3" x14ac:dyDescent="0.25">
      <c r="A104" t="s">
        <v>64</v>
      </c>
      <c r="B104">
        <v>11</v>
      </c>
      <c r="C104" s="27">
        <f t="shared" si="0"/>
        <v>0.25</v>
      </c>
    </row>
    <row r="105" spans="1:3" x14ac:dyDescent="0.25">
      <c r="A105" t="s">
        <v>61</v>
      </c>
      <c r="B105">
        <v>3</v>
      </c>
      <c r="C105" s="27">
        <f t="shared" si="0"/>
        <v>6.8181818181818177E-2</v>
      </c>
    </row>
    <row r="106" spans="1:3" x14ac:dyDescent="0.25">
      <c r="A106" t="s">
        <v>39</v>
      </c>
      <c r="B106">
        <v>2</v>
      </c>
      <c r="C106" s="27">
        <f t="shared" si="0"/>
        <v>4.5454545454545456E-2</v>
      </c>
    </row>
    <row r="107" spans="1:3" x14ac:dyDescent="0.25">
      <c r="B107">
        <f>SUM(B98:B106)</f>
        <v>44</v>
      </c>
    </row>
    <row r="122" spans="1:3" x14ac:dyDescent="0.25">
      <c r="A122" t="s">
        <v>5</v>
      </c>
    </row>
    <row r="123" spans="1:3" x14ac:dyDescent="0.25">
      <c r="A123" t="s">
        <v>40</v>
      </c>
      <c r="B123">
        <v>12</v>
      </c>
      <c r="C123" s="27">
        <f>B123/$B$129</f>
        <v>0.27272727272727271</v>
      </c>
    </row>
    <row r="124" spans="1:3" x14ac:dyDescent="0.25">
      <c r="A124" t="s">
        <v>56</v>
      </c>
      <c r="B124">
        <v>6</v>
      </c>
      <c r="C124" s="27">
        <f t="shared" ref="C124:C128" si="1">B124/$B$129</f>
        <v>0.13636363636363635</v>
      </c>
    </row>
    <row r="125" spans="1:3" x14ac:dyDescent="0.25">
      <c r="A125" t="s">
        <v>92</v>
      </c>
      <c r="B125">
        <v>4</v>
      </c>
      <c r="C125" s="27">
        <f t="shared" si="1"/>
        <v>9.0909090909090912E-2</v>
      </c>
    </row>
    <row r="126" spans="1:3" x14ac:dyDescent="0.25">
      <c r="A126" t="s">
        <v>89</v>
      </c>
      <c r="B126">
        <v>3</v>
      </c>
      <c r="C126" s="27">
        <f t="shared" si="1"/>
        <v>6.8181818181818177E-2</v>
      </c>
    </row>
    <row r="127" spans="1:3" x14ac:dyDescent="0.25">
      <c r="A127" t="s">
        <v>79</v>
      </c>
      <c r="B127">
        <v>4</v>
      </c>
      <c r="C127" s="27">
        <f t="shared" si="1"/>
        <v>9.0909090909090912E-2</v>
      </c>
    </row>
    <row r="128" spans="1:3" x14ac:dyDescent="0.25">
      <c r="A128" t="s">
        <v>71</v>
      </c>
      <c r="B128">
        <v>15</v>
      </c>
      <c r="C128" s="27">
        <f t="shared" si="1"/>
        <v>0.34090909090909088</v>
      </c>
    </row>
    <row r="129" spans="2:2" x14ac:dyDescent="0.25">
      <c r="B129">
        <f>SUM(B123:B128)</f>
        <v>44</v>
      </c>
    </row>
    <row r="163" spans="1:2" x14ac:dyDescent="0.25">
      <c r="B163" s="16" t="s">
        <v>10</v>
      </c>
    </row>
    <row r="164" spans="1:2" x14ac:dyDescent="0.25">
      <c r="A164" t="s">
        <v>110</v>
      </c>
      <c r="B164">
        <v>0</v>
      </c>
    </row>
    <row r="165" spans="1:2" x14ac:dyDescent="0.25">
      <c r="A165" t="s">
        <v>113</v>
      </c>
      <c r="B165" s="10">
        <v>4</v>
      </c>
    </row>
    <row r="166" spans="1:2" x14ac:dyDescent="0.25">
      <c r="A166" s="17" t="s">
        <v>114</v>
      </c>
      <c r="B166" s="11">
        <v>7</v>
      </c>
    </row>
    <row r="167" spans="1:2" x14ac:dyDescent="0.25">
      <c r="A167" t="s">
        <v>112</v>
      </c>
      <c r="B167" s="11">
        <v>11</v>
      </c>
    </row>
    <row r="168" spans="1:2" x14ac:dyDescent="0.25">
      <c r="A168" t="s">
        <v>111</v>
      </c>
      <c r="B168" s="11">
        <v>22</v>
      </c>
    </row>
    <row r="188" spans="1:2" x14ac:dyDescent="0.25">
      <c r="B188" s="16" t="s">
        <v>11</v>
      </c>
    </row>
    <row r="189" spans="1:2" x14ac:dyDescent="0.25">
      <c r="A189" t="s">
        <v>110</v>
      </c>
      <c r="B189" s="10">
        <v>7</v>
      </c>
    </row>
    <row r="190" spans="1:2" x14ac:dyDescent="0.25">
      <c r="A190" t="s">
        <v>113</v>
      </c>
      <c r="B190" s="11">
        <v>8</v>
      </c>
    </row>
    <row r="191" spans="1:2" x14ac:dyDescent="0.25">
      <c r="A191" s="17" t="s">
        <v>114</v>
      </c>
      <c r="B191" s="11">
        <v>11</v>
      </c>
    </row>
    <row r="192" spans="1:2" x14ac:dyDescent="0.25">
      <c r="A192" t="s">
        <v>112</v>
      </c>
      <c r="B192" s="11">
        <v>10</v>
      </c>
    </row>
    <row r="193" spans="1:2" x14ac:dyDescent="0.25">
      <c r="A193" t="s">
        <v>111</v>
      </c>
      <c r="B193" s="11">
        <v>8</v>
      </c>
    </row>
    <row r="194" spans="1:2" x14ac:dyDescent="0.25">
      <c r="B194" s="14"/>
    </row>
    <row r="210" spans="1:2" x14ac:dyDescent="0.25">
      <c r="B210" s="16" t="s">
        <v>12</v>
      </c>
    </row>
    <row r="211" spans="1:2" x14ac:dyDescent="0.25">
      <c r="A211" t="s">
        <v>110</v>
      </c>
      <c r="B211" s="10">
        <v>3</v>
      </c>
    </row>
    <row r="212" spans="1:2" x14ac:dyDescent="0.25">
      <c r="A212" t="s">
        <v>113</v>
      </c>
      <c r="B212" s="11">
        <v>2</v>
      </c>
    </row>
    <row r="213" spans="1:2" x14ac:dyDescent="0.25">
      <c r="A213" s="17" t="s">
        <v>114</v>
      </c>
      <c r="B213" s="11">
        <v>7</v>
      </c>
    </row>
    <row r="214" spans="1:2" x14ac:dyDescent="0.25">
      <c r="A214" t="s">
        <v>112</v>
      </c>
      <c r="B214" s="11">
        <v>6</v>
      </c>
    </row>
    <row r="215" spans="1:2" x14ac:dyDescent="0.25">
      <c r="A215" t="s">
        <v>111</v>
      </c>
      <c r="B215" s="11">
        <v>26</v>
      </c>
    </row>
    <row r="216" spans="1:2" x14ac:dyDescent="0.25">
      <c r="B216" s="14"/>
    </row>
    <row r="231" spans="1:2" x14ac:dyDescent="0.25">
      <c r="B231" s="16" t="s">
        <v>13</v>
      </c>
    </row>
    <row r="232" spans="1:2" x14ac:dyDescent="0.25">
      <c r="A232" t="s">
        <v>110</v>
      </c>
      <c r="B232" s="10">
        <v>2</v>
      </c>
    </row>
    <row r="233" spans="1:2" x14ac:dyDescent="0.25">
      <c r="A233" t="s">
        <v>113</v>
      </c>
      <c r="B233" s="11">
        <v>2</v>
      </c>
    </row>
    <row r="234" spans="1:2" x14ac:dyDescent="0.25">
      <c r="A234" s="17" t="s">
        <v>114</v>
      </c>
      <c r="B234" s="11">
        <v>11</v>
      </c>
    </row>
    <row r="235" spans="1:2" x14ac:dyDescent="0.25">
      <c r="A235" t="s">
        <v>112</v>
      </c>
      <c r="B235" s="11">
        <v>12</v>
      </c>
    </row>
    <row r="236" spans="1:2" x14ac:dyDescent="0.25">
      <c r="A236" t="s">
        <v>111</v>
      </c>
      <c r="B236" s="11">
        <v>17</v>
      </c>
    </row>
    <row r="237" spans="1:2" x14ac:dyDescent="0.25">
      <c r="B237" s="14"/>
    </row>
    <row r="252" spans="1:2" x14ac:dyDescent="0.25">
      <c r="B252" s="16" t="s">
        <v>17</v>
      </c>
    </row>
    <row r="253" spans="1:2" x14ac:dyDescent="0.25">
      <c r="A253" t="s">
        <v>110</v>
      </c>
      <c r="B253" s="10">
        <v>10</v>
      </c>
    </row>
    <row r="254" spans="1:2" x14ac:dyDescent="0.25">
      <c r="A254" t="s">
        <v>113</v>
      </c>
      <c r="B254" s="11">
        <v>9</v>
      </c>
    </row>
    <row r="255" spans="1:2" x14ac:dyDescent="0.25">
      <c r="A255" s="17" t="s">
        <v>114</v>
      </c>
      <c r="B255" s="11">
        <v>14</v>
      </c>
    </row>
    <row r="256" spans="1:2" x14ac:dyDescent="0.25">
      <c r="A256" t="s">
        <v>112</v>
      </c>
      <c r="B256" s="11">
        <v>9</v>
      </c>
    </row>
    <row r="257" spans="1:2" x14ac:dyDescent="0.25">
      <c r="A257" t="s">
        <v>111</v>
      </c>
      <c r="B257" s="11">
        <v>2</v>
      </c>
    </row>
    <row r="258" spans="1:2" x14ac:dyDescent="0.25">
      <c r="B258" s="14"/>
    </row>
    <row r="272" spans="1:2" x14ac:dyDescent="0.25">
      <c r="B272" s="16" t="s">
        <v>19</v>
      </c>
    </row>
    <row r="273" spans="1:2" x14ac:dyDescent="0.25">
      <c r="A273" t="s">
        <v>110</v>
      </c>
      <c r="B273" s="10">
        <v>3</v>
      </c>
    </row>
    <row r="274" spans="1:2" x14ac:dyDescent="0.25">
      <c r="A274" t="s">
        <v>113</v>
      </c>
      <c r="B274" s="11">
        <v>2</v>
      </c>
    </row>
    <row r="275" spans="1:2" x14ac:dyDescent="0.25">
      <c r="A275" s="17" t="s">
        <v>114</v>
      </c>
      <c r="B275" s="11">
        <v>2</v>
      </c>
    </row>
    <row r="276" spans="1:2" x14ac:dyDescent="0.25">
      <c r="A276" t="s">
        <v>112</v>
      </c>
      <c r="B276" s="11">
        <v>12</v>
      </c>
    </row>
    <row r="277" spans="1:2" x14ac:dyDescent="0.25">
      <c r="A277" t="s">
        <v>111</v>
      </c>
      <c r="B277" s="11">
        <v>25</v>
      </c>
    </row>
    <row r="278" spans="1:2" x14ac:dyDescent="0.25">
      <c r="B278" s="14"/>
    </row>
    <row r="294" spans="1:2" x14ac:dyDescent="0.25">
      <c r="B294" s="17" t="s">
        <v>21</v>
      </c>
    </row>
    <row r="295" spans="1:2" x14ac:dyDescent="0.25">
      <c r="A295" t="s">
        <v>102</v>
      </c>
      <c r="B295">
        <v>2</v>
      </c>
    </row>
    <row r="296" spans="1:2" x14ac:dyDescent="0.25">
      <c r="A296" t="s">
        <v>58</v>
      </c>
      <c r="B296">
        <v>3</v>
      </c>
    </row>
    <row r="297" spans="1:2" x14ac:dyDescent="0.25">
      <c r="A297" t="s">
        <v>33</v>
      </c>
      <c r="B297">
        <v>3</v>
      </c>
    </row>
    <row r="298" spans="1:2" x14ac:dyDescent="0.25">
      <c r="A298" t="s">
        <v>41</v>
      </c>
      <c r="B298">
        <v>36</v>
      </c>
    </row>
    <row r="315" spans="1:2" x14ac:dyDescent="0.25">
      <c r="B315" s="17" t="s">
        <v>22</v>
      </c>
    </row>
    <row r="316" spans="1:2" x14ac:dyDescent="0.25">
      <c r="A316" t="s">
        <v>52</v>
      </c>
      <c r="B316">
        <v>5</v>
      </c>
    </row>
    <row r="317" spans="1:2" x14ac:dyDescent="0.25">
      <c r="A317" t="s">
        <v>34</v>
      </c>
      <c r="B317">
        <v>20</v>
      </c>
    </row>
    <row r="318" spans="1:2" x14ac:dyDescent="0.25">
      <c r="A318" t="s">
        <v>90</v>
      </c>
      <c r="B318">
        <v>1</v>
      </c>
    </row>
    <row r="319" spans="1:2" x14ac:dyDescent="0.25">
      <c r="A319" t="s">
        <v>42</v>
      </c>
      <c r="B319">
        <v>18</v>
      </c>
    </row>
    <row r="338" spans="1:2" x14ac:dyDescent="0.25">
      <c r="A338" s="15" t="s">
        <v>108</v>
      </c>
      <c r="B338" s="16" t="s">
        <v>7</v>
      </c>
    </row>
    <row r="339" spans="1:2" x14ac:dyDescent="0.25">
      <c r="A339" s="9" t="s">
        <v>76</v>
      </c>
      <c r="B339" s="10">
        <v>1</v>
      </c>
    </row>
    <row r="340" spans="1:2" x14ac:dyDescent="0.25">
      <c r="A340" s="12" t="s">
        <v>84</v>
      </c>
      <c r="B340" s="11">
        <v>3</v>
      </c>
    </row>
    <row r="341" spans="1:2" x14ac:dyDescent="0.25">
      <c r="A341" s="12" t="s">
        <v>78</v>
      </c>
      <c r="B341" s="11">
        <v>1</v>
      </c>
    </row>
    <row r="342" spans="1:2" x14ac:dyDescent="0.25">
      <c r="A342" s="12" t="s">
        <v>94</v>
      </c>
      <c r="B342" s="11">
        <v>1</v>
      </c>
    </row>
    <row r="343" spans="1:2" x14ac:dyDescent="0.25">
      <c r="A343" s="12" t="s">
        <v>57</v>
      </c>
      <c r="B343" s="11">
        <v>5</v>
      </c>
    </row>
    <row r="344" spans="1:2" x14ac:dyDescent="0.25">
      <c r="A344" s="12" t="s">
        <v>86</v>
      </c>
      <c r="B344" s="11">
        <v>2</v>
      </c>
    </row>
    <row r="345" spans="1:2" x14ac:dyDescent="0.25">
      <c r="A345" s="12" t="s">
        <v>106</v>
      </c>
      <c r="B345" s="11">
        <v>1</v>
      </c>
    </row>
    <row r="346" spans="1:2" x14ac:dyDescent="0.25">
      <c r="A346" s="12" t="s">
        <v>101</v>
      </c>
      <c r="B346" s="11">
        <v>1</v>
      </c>
    </row>
    <row r="347" spans="1:2" x14ac:dyDescent="0.25">
      <c r="A347" s="12" t="s">
        <v>65</v>
      </c>
      <c r="B347" s="11">
        <v>3</v>
      </c>
    </row>
    <row r="348" spans="1:2" x14ac:dyDescent="0.25">
      <c r="A348" s="12" t="s">
        <v>72</v>
      </c>
      <c r="B348" s="11">
        <v>1</v>
      </c>
    </row>
    <row r="349" spans="1:2" x14ac:dyDescent="0.25">
      <c r="A349" s="12" t="s">
        <v>32</v>
      </c>
      <c r="B349" s="11">
        <v>14</v>
      </c>
    </row>
    <row r="350" spans="1:2" x14ac:dyDescent="0.25">
      <c r="A350" s="12" t="s">
        <v>91</v>
      </c>
      <c r="B350" s="11">
        <v>7</v>
      </c>
    </row>
    <row r="351" spans="1:2" x14ac:dyDescent="0.25">
      <c r="A351" s="12" t="s">
        <v>105</v>
      </c>
      <c r="B351" s="11">
        <v>2</v>
      </c>
    </row>
    <row r="352" spans="1:2" x14ac:dyDescent="0.25">
      <c r="A352" s="12" t="s">
        <v>98</v>
      </c>
      <c r="B352" s="11">
        <v>1</v>
      </c>
    </row>
    <row r="360" spans="1:2" x14ac:dyDescent="0.25">
      <c r="A360" t="s">
        <v>108</v>
      </c>
      <c r="B360" s="17" t="s">
        <v>8</v>
      </c>
    </row>
    <row r="361" spans="1:2" x14ac:dyDescent="0.25">
      <c r="A361" t="s">
        <v>110</v>
      </c>
      <c r="B361">
        <v>5</v>
      </c>
    </row>
    <row r="362" spans="1:2" x14ac:dyDescent="0.25">
      <c r="A362" t="s">
        <v>113</v>
      </c>
      <c r="B362">
        <v>3</v>
      </c>
    </row>
    <row r="363" spans="1:2" x14ac:dyDescent="0.25">
      <c r="A363" s="17" t="s">
        <v>114</v>
      </c>
      <c r="B363">
        <v>13</v>
      </c>
    </row>
    <row r="364" spans="1:2" x14ac:dyDescent="0.25">
      <c r="A364" t="s">
        <v>112</v>
      </c>
      <c r="B364">
        <v>10</v>
      </c>
    </row>
    <row r="365" spans="1:2" x14ac:dyDescent="0.25">
      <c r="A365" t="s">
        <v>111</v>
      </c>
      <c r="B365">
        <v>13</v>
      </c>
    </row>
    <row r="366" spans="1:2" x14ac:dyDescent="0.25">
      <c r="A366" t="s">
        <v>109</v>
      </c>
      <c r="B366">
        <v>44</v>
      </c>
    </row>
    <row r="386" spans="1:2" x14ac:dyDescent="0.25">
      <c r="A386" t="s">
        <v>108</v>
      </c>
      <c r="B386" s="17" t="s">
        <v>9</v>
      </c>
    </row>
    <row r="387" spans="1:2" x14ac:dyDescent="0.25">
      <c r="A387" t="s">
        <v>110</v>
      </c>
      <c r="B387">
        <v>1</v>
      </c>
    </row>
    <row r="388" spans="1:2" x14ac:dyDescent="0.25">
      <c r="A388" t="s">
        <v>113</v>
      </c>
      <c r="B388">
        <v>2</v>
      </c>
    </row>
    <row r="389" spans="1:2" x14ac:dyDescent="0.25">
      <c r="A389" s="17" t="s">
        <v>114</v>
      </c>
      <c r="B389">
        <v>9</v>
      </c>
    </row>
    <row r="390" spans="1:2" x14ac:dyDescent="0.25">
      <c r="A390" t="s">
        <v>112</v>
      </c>
      <c r="B390">
        <v>9</v>
      </c>
    </row>
    <row r="391" spans="1:2" x14ac:dyDescent="0.25">
      <c r="A391" t="s">
        <v>111</v>
      </c>
      <c r="B391">
        <v>14</v>
      </c>
    </row>
    <row r="411" spans="1:2" x14ac:dyDescent="0.25">
      <c r="B411" s="17" t="s">
        <v>14</v>
      </c>
    </row>
    <row r="412" spans="1:2" x14ac:dyDescent="0.25">
      <c r="A412" t="s">
        <v>110</v>
      </c>
      <c r="B412">
        <v>1</v>
      </c>
    </row>
    <row r="413" spans="1:2" x14ac:dyDescent="0.25">
      <c r="A413" t="s">
        <v>113</v>
      </c>
      <c r="B413">
        <v>2</v>
      </c>
    </row>
    <row r="414" spans="1:2" x14ac:dyDescent="0.25">
      <c r="A414" s="17" t="s">
        <v>114</v>
      </c>
      <c r="B414">
        <v>7</v>
      </c>
    </row>
    <row r="415" spans="1:2" x14ac:dyDescent="0.25">
      <c r="A415" t="s">
        <v>112</v>
      </c>
      <c r="B415">
        <v>13</v>
      </c>
    </row>
    <row r="416" spans="1:2" x14ac:dyDescent="0.25">
      <c r="A416" t="s">
        <v>111</v>
      </c>
      <c r="B416">
        <v>21</v>
      </c>
    </row>
    <row r="436" spans="1:2" x14ac:dyDescent="0.25">
      <c r="B436" s="17" t="s">
        <v>15</v>
      </c>
    </row>
    <row r="437" spans="1:2" x14ac:dyDescent="0.25">
      <c r="A437" t="s">
        <v>110</v>
      </c>
      <c r="B437">
        <v>2</v>
      </c>
    </row>
    <row r="438" spans="1:2" x14ac:dyDescent="0.25">
      <c r="A438" t="s">
        <v>113</v>
      </c>
      <c r="B438">
        <v>2</v>
      </c>
    </row>
    <row r="439" spans="1:2" x14ac:dyDescent="0.25">
      <c r="A439" s="17" t="s">
        <v>114</v>
      </c>
      <c r="B439">
        <v>12</v>
      </c>
    </row>
    <row r="440" spans="1:2" x14ac:dyDescent="0.25">
      <c r="A440" t="s">
        <v>112</v>
      </c>
      <c r="B440">
        <v>11</v>
      </c>
    </row>
    <row r="441" spans="1:2" x14ac:dyDescent="0.25">
      <c r="A441" t="s">
        <v>111</v>
      </c>
      <c r="B441">
        <v>17</v>
      </c>
    </row>
    <row r="462" spans="1:2" x14ac:dyDescent="0.25">
      <c r="B462" s="17" t="s">
        <v>16</v>
      </c>
    </row>
    <row r="463" spans="1:2" x14ac:dyDescent="0.25">
      <c r="A463" t="s">
        <v>110</v>
      </c>
      <c r="B463">
        <v>1</v>
      </c>
    </row>
    <row r="464" spans="1:2" x14ac:dyDescent="0.25">
      <c r="A464" t="s">
        <v>113</v>
      </c>
      <c r="B464">
        <v>0</v>
      </c>
    </row>
    <row r="465" spans="1:2" x14ac:dyDescent="0.25">
      <c r="A465" s="17" t="s">
        <v>114</v>
      </c>
      <c r="B465">
        <v>6</v>
      </c>
    </row>
    <row r="466" spans="1:2" x14ac:dyDescent="0.25">
      <c r="A466" t="s">
        <v>112</v>
      </c>
      <c r="B466">
        <v>13</v>
      </c>
    </row>
    <row r="467" spans="1:2" x14ac:dyDescent="0.25">
      <c r="A467" t="s">
        <v>111</v>
      </c>
      <c r="B467">
        <v>24</v>
      </c>
    </row>
    <row r="488" spans="1:2" x14ac:dyDescent="0.25">
      <c r="B488" s="17" t="s">
        <v>18</v>
      </c>
    </row>
    <row r="489" spans="1:2" x14ac:dyDescent="0.25">
      <c r="A489" t="s">
        <v>110</v>
      </c>
      <c r="B489">
        <v>2</v>
      </c>
    </row>
    <row r="490" spans="1:2" x14ac:dyDescent="0.25">
      <c r="A490" t="s">
        <v>113</v>
      </c>
      <c r="B490">
        <v>6</v>
      </c>
    </row>
    <row r="491" spans="1:2" x14ac:dyDescent="0.25">
      <c r="A491" s="17" t="s">
        <v>114</v>
      </c>
      <c r="B491">
        <v>13</v>
      </c>
    </row>
    <row r="492" spans="1:2" x14ac:dyDescent="0.25">
      <c r="A492" t="s">
        <v>112</v>
      </c>
      <c r="B492">
        <v>10</v>
      </c>
    </row>
    <row r="493" spans="1:2" x14ac:dyDescent="0.25">
      <c r="A493" t="s">
        <v>111</v>
      </c>
      <c r="B493">
        <v>13</v>
      </c>
    </row>
    <row r="509" spans="1:2" x14ac:dyDescent="0.25">
      <c r="A509" t="s">
        <v>108</v>
      </c>
      <c r="B509" s="17" t="s">
        <v>23</v>
      </c>
    </row>
    <row r="510" spans="1:2" x14ac:dyDescent="0.25">
      <c r="A510" t="s">
        <v>66</v>
      </c>
      <c r="B510">
        <v>1</v>
      </c>
    </row>
    <row r="511" spans="1:2" x14ac:dyDescent="0.25">
      <c r="A511" t="s">
        <v>93</v>
      </c>
      <c r="B511">
        <v>1</v>
      </c>
    </row>
    <row r="512" spans="1:2" x14ac:dyDescent="0.25">
      <c r="A512" t="s">
        <v>100</v>
      </c>
      <c r="B512">
        <v>1</v>
      </c>
    </row>
    <row r="513" spans="1:2" x14ac:dyDescent="0.25">
      <c r="A513" t="s">
        <v>103</v>
      </c>
      <c r="B513">
        <v>1</v>
      </c>
    </row>
    <row r="514" spans="1:2" x14ac:dyDescent="0.25">
      <c r="A514" t="s">
        <v>88</v>
      </c>
      <c r="B514">
        <v>7</v>
      </c>
    </row>
    <row r="515" spans="1:2" x14ac:dyDescent="0.25">
      <c r="A515" t="s">
        <v>59</v>
      </c>
      <c r="B515">
        <v>1</v>
      </c>
    </row>
    <row r="516" spans="1:2" x14ac:dyDescent="0.25">
      <c r="A516" t="s">
        <v>68</v>
      </c>
      <c r="B516">
        <v>14</v>
      </c>
    </row>
    <row r="517" spans="1:2" x14ac:dyDescent="0.25">
      <c r="A517" t="s">
        <v>62</v>
      </c>
      <c r="B517">
        <v>5</v>
      </c>
    </row>
    <row r="518" spans="1:2" x14ac:dyDescent="0.25">
      <c r="A518" t="s">
        <v>81</v>
      </c>
      <c r="B518">
        <v>1</v>
      </c>
    </row>
    <row r="519" spans="1:2" x14ac:dyDescent="0.25">
      <c r="A519" t="s">
        <v>49</v>
      </c>
      <c r="B519">
        <v>4</v>
      </c>
    </row>
    <row r="520" spans="1:2" x14ac:dyDescent="0.25">
      <c r="A520" t="s">
        <v>80</v>
      </c>
      <c r="B520">
        <v>1</v>
      </c>
    </row>
    <row r="521" spans="1:2" x14ac:dyDescent="0.25">
      <c r="A521" t="s">
        <v>97</v>
      </c>
      <c r="B521">
        <v>1</v>
      </c>
    </row>
    <row r="522" spans="1:2" x14ac:dyDescent="0.25">
      <c r="A522" t="s">
        <v>53</v>
      </c>
      <c r="B522">
        <v>1</v>
      </c>
    </row>
    <row r="523" spans="1:2" x14ac:dyDescent="0.25">
      <c r="A523" t="s">
        <v>73</v>
      </c>
      <c r="B523">
        <v>4</v>
      </c>
    </row>
    <row r="524" spans="1:2" x14ac:dyDescent="0.25">
      <c r="A524" t="s">
        <v>95</v>
      </c>
      <c r="B524">
        <v>1</v>
      </c>
    </row>
    <row r="535" spans="1:2" x14ac:dyDescent="0.25">
      <c r="A535" s="15" t="s">
        <v>108</v>
      </c>
      <c r="B535" s="16" t="s">
        <v>24</v>
      </c>
    </row>
    <row r="536" spans="1:2" x14ac:dyDescent="0.25">
      <c r="A536" s="9" t="s">
        <v>104</v>
      </c>
      <c r="B536" s="10">
        <v>1</v>
      </c>
    </row>
    <row r="537" spans="1:2" x14ac:dyDescent="0.25">
      <c r="A537" s="12" t="s">
        <v>36</v>
      </c>
      <c r="B537" s="11">
        <v>7</v>
      </c>
    </row>
    <row r="538" spans="1:2" x14ac:dyDescent="0.25">
      <c r="A538" s="12" t="s">
        <v>44</v>
      </c>
      <c r="B538" s="11">
        <v>9</v>
      </c>
    </row>
    <row r="539" spans="1:2" x14ac:dyDescent="0.25">
      <c r="A539" s="12" t="s">
        <v>54</v>
      </c>
      <c r="B539" s="11">
        <v>11</v>
      </c>
    </row>
    <row r="540" spans="1:2" x14ac:dyDescent="0.25">
      <c r="A540" s="12" t="s">
        <v>74</v>
      </c>
      <c r="B540" s="11">
        <v>16</v>
      </c>
    </row>
    <row r="541" spans="1:2" x14ac:dyDescent="0.25">
      <c r="A541" s="12" t="s">
        <v>63</v>
      </c>
      <c r="B541" s="11">
        <v>1</v>
      </c>
    </row>
    <row r="557" spans="1:2" x14ac:dyDescent="0.25">
      <c r="A557" t="s">
        <v>108</v>
      </c>
      <c r="B557" s="17" t="s">
        <v>20</v>
      </c>
    </row>
    <row r="558" spans="1:2" x14ac:dyDescent="0.25">
      <c r="A558" t="s">
        <v>110</v>
      </c>
      <c r="B558">
        <v>1</v>
      </c>
    </row>
    <row r="559" spans="1:2" x14ac:dyDescent="0.25">
      <c r="A559" t="s">
        <v>113</v>
      </c>
      <c r="B559">
        <v>3</v>
      </c>
    </row>
    <row r="560" spans="1:2" x14ac:dyDescent="0.25">
      <c r="A560" s="17" t="s">
        <v>114</v>
      </c>
      <c r="B560">
        <v>4</v>
      </c>
    </row>
    <row r="561" spans="1:2" x14ac:dyDescent="0.25">
      <c r="A561" t="s">
        <v>112</v>
      </c>
      <c r="B561">
        <v>14</v>
      </c>
    </row>
    <row r="562" spans="1:2" x14ac:dyDescent="0.25">
      <c r="A562" t="s">
        <v>111</v>
      </c>
      <c r="B562">
        <v>22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58A40-FA24-46AC-B498-8686355AB463}">
  <dimension ref="A1:AU33"/>
  <sheetViews>
    <sheetView tabSelected="1" zoomScale="85" zoomScaleNormal="85" workbookViewId="0">
      <selection activeCell="D1" sqref="D1"/>
    </sheetView>
  </sheetViews>
  <sheetFormatPr defaultRowHeight="13.5" x14ac:dyDescent="0.25"/>
  <cols>
    <col min="1" max="1" width="20" style="28" customWidth="1"/>
    <col min="2" max="16384" width="9.140625" style="28"/>
  </cols>
  <sheetData>
    <row r="1" spans="1:47" x14ac:dyDescent="0.25">
      <c r="A1" s="29" t="s">
        <v>0</v>
      </c>
      <c r="B1" s="29" t="s">
        <v>117</v>
      </c>
      <c r="C1" s="29" t="s">
        <v>118</v>
      </c>
      <c r="D1" s="29" t="s">
        <v>119</v>
      </c>
      <c r="E1" s="29" t="s">
        <v>120</v>
      </c>
      <c r="F1" s="29" t="s">
        <v>121</v>
      </c>
      <c r="G1" s="29" t="s">
        <v>122</v>
      </c>
      <c r="H1" s="29" t="s">
        <v>123</v>
      </c>
      <c r="I1" s="29" t="s">
        <v>124</v>
      </c>
      <c r="J1" s="29" t="s">
        <v>125</v>
      </c>
      <c r="K1" s="29" t="s">
        <v>126</v>
      </c>
      <c r="L1" s="29" t="s">
        <v>127</v>
      </c>
      <c r="M1" s="29" t="s">
        <v>128</v>
      </c>
      <c r="N1" s="29" t="s">
        <v>129</v>
      </c>
      <c r="O1" s="29" t="s">
        <v>130</v>
      </c>
      <c r="P1" s="29" t="s">
        <v>131</v>
      </c>
      <c r="Q1" s="29" t="s">
        <v>132</v>
      </c>
      <c r="R1" s="29" t="s">
        <v>133</v>
      </c>
      <c r="S1" s="29" t="s">
        <v>134</v>
      </c>
      <c r="T1" s="29" t="s">
        <v>135</v>
      </c>
      <c r="U1" s="29" t="s">
        <v>136</v>
      </c>
      <c r="V1" s="29" t="s">
        <v>137</v>
      </c>
      <c r="W1" s="29" t="s">
        <v>138</v>
      </c>
      <c r="X1" s="29" t="s">
        <v>139</v>
      </c>
      <c r="Y1" s="29" t="s">
        <v>140</v>
      </c>
      <c r="Z1" s="29" t="s">
        <v>141</v>
      </c>
      <c r="AA1" s="29" t="s">
        <v>142</v>
      </c>
      <c r="AB1" s="29" t="s">
        <v>143</v>
      </c>
      <c r="AC1" s="29" t="s">
        <v>144</v>
      </c>
      <c r="AD1" s="29" t="s">
        <v>145</v>
      </c>
      <c r="AE1" s="29" t="s">
        <v>146</v>
      </c>
      <c r="AF1" s="29" t="s">
        <v>147</v>
      </c>
      <c r="AG1" s="29" t="s">
        <v>148</v>
      </c>
      <c r="AH1" s="29" t="s">
        <v>149</v>
      </c>
      <c r="AI1" s="29" t="s">
        <v>150</v>
      </c>
      <c r="AJ1" s="29" t="s">
        <v>151</v>
      </c>
      <c r="AK1" s="29" t="s">
        <v>152</v>
      </c>
      <c r="AL1" s="29" t="s">
        <v>153</v>
      </c>
      <c r="AM1" s="29" t="s">
        <v>154</v>
      </c>
      <c r="AN1" s="29" t="s">
        <v>155</v>
      </c>
      <c r="AO1" s="29" t="s">
        <v>156</v>
      </c>
      <c r="AP1" s="29" t="s">
        <v>157</v>
      </c>
      <c r="AQ1" s="29" t="s">
        <v>158</v>
      </c>
      <c r="AR1" s="29" t="s">
        <v>159</v>
      </c>
      <c r="AS1" s="29" t="s">
        <v>160</v>
      </c>
      <c r="AT1" s="29" t="s">
        <v>161</v>
      </c>
      <c r="AU1" s="29" t="s">
        <v>25</v>
      </c>
    </row>
    <row r="2" spans="1:47" x14ac:dyDescent="0.25">
      <c r="A2" s="30">
        <v>46085.633357557876</v>
      </c>
      <c r="B2" s="31" t="s">
        <v>61</v>
      </c>
      <c r="C2" s="31" t="s">
        <v>208</v>
      </c>
      <c r="D2" s="31" t="s">
        <v>209</v>
      </c>
      <c r="E2" s="31">
        <v>8</v>
      </c>
      <c r="F2" s="31" t="s">
        <v>210</v>
      </c>
      <c r="G2" s="31" t="s">
        <v>211</v>
      </c>
      <c r="H2" s="31" t="s">
        <v>212</v>
      </c>
      <c r="I2" s="31" t="s">
        <v>185</v>
      </c>
      <c r="J2" s="31" t="s">
        <v>185</v>
      </c>
      <c r="K2" s="31" t="s">
        <v>212</v>
      </c>
      <c r="L2" s="31" t="s">
        <v>213</v>
      </c>
      <c r="M2" s="31" t="s">
        <v>186</v>
      </c>
      <c r="N2" s="31" t="s">
        <v>214</v>
      </c>
      <c r="O2" s="31" t="s">
        <v>184</v>
      </c>
      <c r="P2" s="31" t="s">
        <v>186</v>
      </c>
      <c r="Q2" s="31" t="s">
        <v>186</v>
      </c>
      <c r="R2" s="31" t="s">
        <v>186</v>
      </c>
      <c r="S2" s="31" t="s">
        <v>215</v>
      </c>
      <c r="T2" s="31" t="s">
        <v>216</v>
      </c>
      <c r="U2" s="31" t="s">
        <v>217</v>
      </c>
      <c r="V2" s="31" t="s">
        <v>217</v>
      </c>
      <c r="W2" s="31" t="s">
        <v>216</v>
      </c>
      <c r="X2" s="31" t="s">
        <v>217</v>
      </c>
      <c r="Y2" s="31" t="s">
        <v>217</v>
      </c>
      <c r="Z2" s="31" t="s">
        <v>216</v>
      </c>
      <c r="AA2" s="31" t="s">
        <v>184</v>
      </c>
      <c r="AB2" s="31" t="s">
        <v>185</v>
      </c>
      <c r="AC2" s="31" t="s">
        <v>184</v>
      </c>
      <c r="AD2" s="31" t="s">
        <v>184</v>
      </c>
      <c r="AE2" s="31">
        <v>5</v>
      </c>
      <c r="AF2" s="31">
        <v>4</v>
      </c>
      <c r="AG2" s="31">
        <v>1</v>
      </c>
      <c r="AH2" s="31">
        <v>1</v>
      </c>
      <c r="AI2" s="31">
        <v>4</v>
      </c>
      <c r="AJ2" s="31">
        <v>1</v>
      </c>
      <c r="AK2" s="31" t="s">
        <v>218</v>
      </c>
      <c r="AL2" s="31" t="s">
        <v>219</v>
      </c>
      <c r="AM2" s="31" t="s">
        <v>220</v>
      </c>
      <c r="AN2" s="31" t="s">
        <v>221</v>
      </c>
      <c r="AO2" s="31" t="s">
        <v>222</v>
      </c>
      <c r="AP2" s="31" t="s">
        <v>223</v>
      </c>
      <c r="AQ2" s="31" t="s">
        <v>224</v>
      </c>
      <c r="AR2" s="31" t="s">
        <v>194</v>
      </c>
      <c r="AS2" s="31" t="s">
        <v>225</v>
      </c>
      <c r="AT2" s="31" t="s">
        <v>226</v>
      </c>
      <c r="AU2" s="31" t="s">
        <v>45</v>
      </c>
    </row>
    <row r="3" spans="1:47" x14ac:dyDescent="0.25">
      <c r="A3" s="30">
        <v>46086.389961365741</v>
      </c>
      <c r="B3" s="31" t="s">
        <v>77</v>
      </c>
      <c r="C3" s="31" t="s">
        <v>227</v>
      </c>
      <c r="D3" s="31" t="s">
        <v>228</v>
      </c>
      <c r="E3" s="31">
        <v>60</v>
      </c>
      <c r="F3" s="31" t="s">
        <v>229</v>
      </c>
      <c r="G3" s="31" t="s">
        <v>183</v>
      </c>
      <c r="H3" s="31" t="s">
        <v>213</v>
      </c>
      <c r="I3" s="31" t="s">
        <v>185</v>
      </c>
      <c r="J3" s="31" t="s">
        <v>213</v>
      </c>
      <c r="K3" s="31" t="s">
        <v>185</v>
      </c>
      <c r="L3" s="31" t="s">
        <v>185</v>
      </c>
      <c r="M3" s="31" t="s">
        <v>186</v>
      </c>
      <c r="N3" s="31" t="s">
        <v>186</v>
      </c>
      <c r="O3" s="31" t="s">
        <v>214</v>
      </c>
      <c r="P3" s="31" t="s">
        <v>200</v>
      </c>
      <c r="Q3" s="31" t="s">
        <v>186</v>
      </c>
      <c r="R3" s="31" t="s">
        <v>186</v>
      </c>
      <c r="S3" s="31" t="s">
        <v>217</v>
      </c>
      <c r="T3" s="31" t="s">
        <v>230</v>
      </c>
      <c r="U3" s="31" t="s">
        <v>215</v>
      </c>
      <c r="V3" s="31" t="s">
        <v>217</v>
      </c>
      <c r="W3" s="31" t="s">
        <v>217</v>
      </c>
      <c r="X3" s="31" t="s">
        <v>230</v>
      </c>
      <c r="Y3" s="31" t="s">
        <v>217</v>
      </c>
      <c r="Z3" s="31" t="s">
        <v>217</v>
      </c>
      <c r="AA3" s="31" t="s">
        <v>184</v>
      </c>
      <c r="AB3" s="31" t="s">
        <v>185</v>
      </c>
      <c r="AC3" s="31" t="s">
        <v>214</v>
      </c>
      <c r="AD3" s="31" t="s">
        <v>186</v>
      </c>
      <c r="AE3" s="31">
        <v>4</v>
      </c>
      <c r="AF3" s="31">
        <v>1</v>
      </c>
      <c r="AG3" s="31">
        <v>5</v>
      </c>
      <c r="AH3" s="31">
        <v>4</v>
      </c>
      <c r="AI3" s="31">
        <v>1</v>
      </c>
      <c r="AJ3" s="31">
        <v>3</v>
      </c>
      <c r="AK3" s="31" t="s">
        <v>231</v>
      </c>
      <c r="AL3" s="31" t="s">
        <v>219</v>
      </c>
      <c r="AM3" s="31" t="s">
        <v>220</v>
      </c>
      <c r="AN3" s="31" t="s">
        <v>232</v>
      </c>
      <c r="AO3" s="31" t="s">
        <v>191</v>
      </c>
      <c r="AP3" s="31" t="s">
        <v>192</v>
      </c>
      <c r="AQ3" s="31" t="s">
        <v>233</v>
      </c>
      <c r="AR3" s="31" t="s">
        <v>234</v>
      </c>
      <c r="AS3" s="31" t="s">
        <v>195</v>
      </c>
      <c r="AT3" s="31" t="s">
        <v>235</v>
      </c>
      <c r="AU3" s="31" t="s">
        <v>45</v>
      </c>
    </row>
    <row r="4" spans="1:47" x14ac:dyDescent="0.25">
      <c r="A4" s="30">
        <v>46086.481195219909</v>
      </c>
      <c r="B4" s="31" t="s">
        <v>64</v>
      </c>
      <c r="C4" s="31" t="s">
        <v>236</v>
      </c>
      <c r="D4" s="31" t="s">
        <v>237</v>
      </c>
      <c r="E4" s="31">
        <v>45</v>
      </c>
      <c r="F4" s="31">
        <v>50</v>
      </c>
      <c r="G4" s="31" t="s">
        <v>183</v>
      </c>
      <c r="H4" s="31" t="s">
        <v>185</v>
      </c>
      <c r="I4" s="31" t="s">
        <v>184</v>
      </c>
      <c r="J4" s="31" t="s">
        <v>185</v>
      </c>
      <c r="K4" s="31" t="s">
        <v>213</v>
      </c>
      <c r="L4" s="31" t="s">
        <v>185</v>
      </c>
      <c r="M4" s="31" t="s">
        <v>186</v>
      </c>
      <c r="N4" s="31" t="s">
        <v>186</v>
      </c>
      <c r="O4" s="31" t="s">
        <v>186</v>
      </c>
      <c r="P4" s="31" t="s">
        <v>186</v>
      </c>
      <c r="Q4" s="31" t="s">
        <v>200</v>
      </c>
      <c r="R4" s="31" t="s">
        <v>186</v>
      </c>
      <c r="S4" s="31" t="s">
        <v>217</v>
      </c>
      <c r="T4" s="31" t="s">
        <v>217</v>
      </c>
      <c r="U4" s="31" t="s">
        <v>217</v>
      </c>
      <c r="V4" s="31" t="s">
        <v>217</v>
      </c>
      <c r="W4" s="31" t="s">
        <v>217</v>
      </c>
      <c r="X4" s="31" t="s">
        <v>217</v>
      </c>
      <c r="Y4" s="31" t="s">
        <v>217</v>
      </c>
      <c r="Z4" s="31" t="s">
        <v>217</v>
      </c>
      <c r="AA4" s="31" t="s">
        <v>238</v>
      </c>
      <c r="AB4" s="31" t="s">
        <v>184</v>
      </c>
      <c r="AC4" s="31" t="s">
        <v>186</v>
      </c>
      <c r="AD4" s="31" t="s">
        <v>186</v>
      </c>
      <c r="AE4" s="31">
        <v>3</v>
      </c>
      <c r="AF4" s="31">
        <v>3</v>
      </c>
      <c r="AG4" s="31">
        <v>1</v>
      </c>
      <c r="AH4" s="31">
        <v>5</v>
      </c>
      <c r="AI4" s="31">
        <v>3</v>
      </c>
      <c r="AJ4" s="31">
        <v>3</v>
      </c>
      <c r="AK4" s="31" t="s">
        <v>218</v>
      </c>
      <c r="AL4" s="31" t="s">
        <v>239</v>
      </c>
      <c r="AM4" s="31" t="s">
        <v>240</v>
      </c>
      <c r="AN4" s="31" t="s">
        <v>190</v>
      </c>
      <c r="AO4" s="31" t="s">
        <v>191</v>
      </c>
      <c r="AP4" s="31" t="s">
        <v>204</v>
      </c>
      <c r="AQ4" s="31" t="s">
        <v>241</v>
      </c>
      <c r="AR4" s="31" t="s">
        <v>242</v>
      </c>
      <c r="AS4" s="31" t="s">
        <v>225</v>
      </c>
      <c r="AT4" s="31" t="s">
        <v>226</v>
      </c>
      <c r="AU4" s="31" t="s">
        <v>45</v>
      </c>
    </row>
    <row r="5" spans="1:47" x14ac:dyDescent="0.25">
      <c r="A5" s="30">
        <v>46086.484894652778</v>
      </c>
      <c r="B5" s="31" t="s">
        <v>70</v>
      </c>
      <c r="C5" s="31" t="s">
        <v>243</v>
      </c>
      <c r="D5" s="31" t="s">
        <v>209</v>
      </c>
      <c r="E5" s="31">
        <v>225</v>
      </c>
      <c r="F5" s="31" t="s">
        <v>244</v>
      </c>
      <c r="G5" s="31" t="s">
        <v>183</v>
      </c>
      <c r="H5" s="31" t="s">
        <v>185</v>
      </c>
      <c r="I5" s="31" t="s">
        <v>185</v>
      </c>
      <c r="J5" s="31" t="s">
        <v>184</v>
      </c>
      <c r="K5" s="31" t="s">
        <v>185</v>
      </c>
      <c r="L5" s="31" t="s">
        <v>213</v>
      </c>
      <c r="M5" s="31" t="s">
        <v>186</v>
      </c>
      <c r="N5" s="31" t="s">
        <v>186</v>
      </c>
      <c r="O5" s="31" t="s">
        <v>214</v>
      </c>
      <c r="P5" s="31" t="s">
        <v>200</v>
      </c>
      <c r="Q5" s="31" t="s">
        <v>200</v>
      </c>
      <c r="R5" s="31" t="s">
        <v>186</v>
      </c>
      <c r="S5" s="31" t="s">
        <v>217</v>
      </c>
      <c r="T5" s="31" t="s">
        <v>217</v>
      </c>
      <c r="U5" s="31" t="s">
        <v>217</v>
      </c>
      <c r="V5" s="31" t="s">
        <v>217</v>
      </c>
      <c r="W5" s="31" t="s">
        <v>217</v>
      </c>
      <c r="X5" s="31" t="s">
        <v>230</v>
      </c>
      <c r="Y5" s="31" t="s">
        <v>230</v>
      </c>
      <c r="Z5" s="31" t="s">
        <v>230</v>
      </c>
      <c r="AA5" s="31" t="s">
        <v>245</v>
      </c>
      <c r="AB5" s="31" t="s">
        <v>238</v>
      </c>
      <c r="AC5" s="31" t="s">
        <v>214</v>
      </c>
      <c r="AD5" s="31" t="s">
        <v>214</v>
      </c>
      <c r="AE5" s="31">
        <v>3</v>
      </c>
      <c r="AF5" s="31">
        <v>3</v>
      </c>
      <c r="AG5" s="31">
        <v>3</v>
      </c>
      <c r="AH5" s="31">
        <v>4</v>
      </c>
      <c r="AI5" s="31">
        <v>3</v>
      </c>
      <c r="AJ5" s="31">
        <v>4</v>
      </c>
      <c r="AK5" s="31" t="s">
        <v>246</v>
      </c>
      <c r="AL5" s="31" t="s">
        <v>219</v>
      </c>
      <c r="AM5" s="31" t="s">
        <v>240</v>
      </c>
      <c r="AN5" s="31" t="s">
        <v>221</v>
      </c>
      <c r="AO5" s="31" t="s">
        <v>222</v>
      </c>
      <c r="AP5" s="31" t="s">
        <v>192</v>
      </c>
      <c r="AQ5" s="31" t="s">
        <v>247</v>
      </c>
      <c r="AR5" s="31" t="s">
        <v>248</v>
      </c>
      <c r="AS5" s="31" t="s">
        <v>195</v>
      </c>
      <c r="AT5" s="31" t="s">
        <v>249</v>
      </c>
      <c r="AU5" s="31" t="s">
        <v>45</v>
      </c>
    </row>
    <row r="6" spans="1:47" x14ac:dyDescent="0.25">
      <c r="A6" s="30">
        <v>46086.489257881942</v>
      </c>
      <c r="B6" s="31" t="s">
        <v>208</v>
      </c>
      <c r="C6" s="31" t="s">
        <v>250</v>
      </c>
      <c r="D6" s="31" t="s">
        <v>209</v>
      </c>
      <c r="E6" s="31">
        <v>20</v>
      </c>
      <c r="F6" s="31" t="s">
        <v>251</v>
      </c>
      <c r="G6" s="31" t="s">
        <v>199</v>
      </c>
      <c r="H6" s="31" t="s">
        <v>212</v>
      </c>
      <c r="I6" s="31" t="s">
        <v>213</v>
      </c>
      <c r="J6" s="31" t="s">
        <v>213</v>
      </c>
      <c r="K6" s="31" t="s">
        <v>213</v>
      </c>
      <c r="L6" s="31" t="s">
        <v>212</v>
      </c>
      <c r="M6" s="31" t="s">
        <v>186</v>
      </c>
      <c r="N6" s="31" t="s">
        <v>200</v>
      </c>
      <c r="O6" s="31" t="s">
        <v>184</v>
      </c>
      <c r="P6" s="31" t="s">
        <v>214</v>
      </c>
      <c r="Q6" s="31" t="s">
        <v>186</v>
      </c>
      <c r="R6" s="31" t="s">
        <v>186</v>
      </c>
      <c r="S6" s="31" t="s">
        <v>217</v>
      </c>
      <c r="T6" s="31" t="s">
        <v>217</v>
      </c>
      <c r="U6" s="31" t="s">
        <v>217</v>
      </c>
      <c r="V6" s="31" t="s">
        <v>217</v>
      </c>
      <c r="W6" s="31" t="s">
        <v>215</v>
      </c>
      <c r="X6" s="31" t="s">
        <v>217</v>
      </c>
      <c r="Y6" s="31" t="s">
        <v>230</v>
      </c>
      <c r="Z6" s="31" t="s">
        <v>217</v>
      </c>
      <c r="AA6" s="31" t="s">
        <v>184</v>
      </c>
      <c r="AB6" s="31" t="s">
        <v>185</v>
      </c>
      <c r="AC6" s="31" t="s">
        <v>214</v>
      </c>
      <c r="AD6" s="31" t="s">
        <v>186</v>
      </c>
      <c r="AE6" s="31">
        <v>5</v>
      </c>
      <c r="AF6" s="31">
        <v>1</v>
      </c>
      <c r="AG6" s="31">
        <v>5</v>
      </c>
      <c r="AH6" s="31">
        <v>2</v>
      </c>
      <c r="AI6" s="31">
        <v>2</v>
      </c>
      <c r="AJ6" s="31">
        <v>2</v>
      </c>
      <c r="AK6" s="31" t="s">
        <v>187</v>
      </c>
      <c r="AL6" s="31" t="s">
        <v>252</v>
      </c>
      <c r="AM6" s="31" t="s">
        <v>220</v>
      </c>
      <c r="AN6" s="31" t="s">
        <v>202</v>
      </c>
      <c r="AO6" s="31" t="s">
        <v>191</v>
      </c>
      <c r="AP6" s="31" t="s">
        <v>223</v>
      </c>
      <c r="AQ6" s="31" t="s">
        <v>253</v>
      </c>
      <c r="AR6" s="31" t="s">
        <v>254</v>
      </c>
      <c r="AS6" s="31" t="s">
        <v>225</v>
      </c>
      <c r="AT6" s="31" t="s">
        <v>255</v>
      </c>
      <c r="AU6" s="31" t="s">
        <v>45</v>
      </c>
    </row>
    <row r="7" spans="1:47" x14ac:dyDescent="0.25">
      <c r="A7" s="30">
        <v>46086.572130532411</v>
      </c>
      <c r="B7" s="31" t="s">
        <v>64</v>
      </c>
      <c r="C7" s="31" t="s">
        <v>256</v>
      </c>
      <c r="D7" s="31" t="s">
        <v>228</v>
      </c>
      <c r="E7" s="31">
        <v>14</v>
      </c>
      <c r="F7" s="31" t="s">
        <v>257</v>
      </c>
      <c r="G7" s="31" t="s">
        <v>183</v>
      </c>
      <c r="H7" s="31" t="s">
        <v>213</v>
      </c>
      <c r="I7" s="31" t="s">
        <v>212</v>
      </c>
      <c r="J7" s="31" t="s">
        <v>185</v>
      </c>
      <c r="K7" s="31" t="s">
        <v>185</v>
      </c>
      <c r="L7" s="31" t="s">
        <v>185</v>
      </c>
      <c r="M7" s="31" t="s">
        <v>186</v>
      </c>
      <c r="N7" s="31" t="s">
        <v>186</v>
      </c>
      <c r="O7" s="31" t="s">
        <v>214</v>
      </c>
      <c r="P7" s="31" t="s">
        <v>200</v>
      </c>
      <c r="Q7" s="31" t="s">
        <v>186</v>
      </c>
      <c r="R7" s="31" t="s">
        <v>186</v>
      </c>
      <c r="S7" s="31" t="s">
        <v>217</v>
      </c>
      <c r="T7" s="31" t="s">
        <v>217</v>
      </c>
      <c r="U7" s="31" t="s">
        <v>217</v>
      </c>
      <c r="V7" s="31" t="s">
        <v>217</v>
      </c>
      <c r="W7" s="31" t="s">
        <v>217</v>
      </c>
      <c r="X7" s="31" t="s">
        <v>217</v>
      </c>
      <c r="Y7" s="31" t="s">
        <v>215</v>
      </c>
      <c r="Z7" s="31" t="s">
        <v>217</v>
      </c>
      <c r="AA7" s="31" t="s">
        <v>184</v>
      </c>
      <c r="AB7" s="31" t="s">
        <v>185</v>
      </c>
      <c r="AC7" s="31" t="s">
        <v>186</v>
      </c>
      <c r="AD7" s="31" t="s">
        <v>186</v>
      </c>
      <c r="AE7" s="31">
        <v>2</v>
      </c>
      <c r="AF7" s="31">
        <v>2</v>
      </c>
      <c r="AG7" s="31">
        <v>2</v>
      </c>
      <c r="AH7" s="31">
        <v>4</v>
      </c>
      <c r="AI7" s="31">
        <v>2</v>
      </c>
      <c r="AJ7" s="31">
        <v>2</v>
      </c>
      <c r="AK7" s="31" t="s">
        <v>246</v>
      </c>
      <c r="AL7" s="31" t="s">
        <v>258</v>
      </c>
      <c r="AM7" s="31" t="s">
        <v>240</v>
      </c>
      <c r="AN7" s="31" t="s">
        <v>190</v>
      </c>
      <c r="AO7" s="31" t="s">
        <v>191</v>
      </c>
      <c r="AP7" s="31" t="s">
        <v>192</v>
      </c>
      <c r="AQ7" s="31" t="s">
        <v>259</v>
      </c>
      <c r="AR7" s="31" t="s">
        <v>254</v>
      </c>
      <c r="AS7" s="31" t="s">
        <v>195</v>
      </c>
      <c r="AT7" s="31" t="s">
        <v>260</v>
      </c>
      <c r="AU7" s="31" t="s">
        <v>45</v>
      </c>
    </row>
    <row r="8" spans="1:47" x14ac:dyDescent="0.25">
      <c r="A8" s="30">
        <v>46086.581594131945</v>
      </c>
      <c r="B8" s="31" t="s">
        <v>64</v>
      </c>
      <c r="C8" s="31" t="s">
        <v>261</v>
      </c>
      <c r="D8" s="31" t="s">
        <v>237</v>
      </c>
      <c r="E8" s="31">
        <v>15</v>
      </c>
      <c r="F8" s="31" t="s">
        <v>262</v>
      </c>
      <c r="G8" s="31" t="s">
        <v>199</v>
      </c>
      <c r="H8" s="31" t="s">
        <v>213</v>
      </c>
      <c r="I8" s="31" t="s">
        <v>212</v>
      </c>
      <c r="J8" s="31" t="s">
        <v>185</v>
      </c>
      <c r="K8" s="31" t="s">
        <v>213</v>
      </c>
      <c r="L8" s="31" t="s">
        <v>185</v>
      </c>
      <c r="M8" s="31" t="s">
        <v>186</v>
      </c>
      <c r="N8" s="31" t="s">
        <v>214</v>
      </c>
      <c r="O8" s="31" t="s">
        <v>214</v>
      </c>
      <c r="P8" s="31" t="s">
        <v>214</v>
      </c>
      <c r="Q8" s="31" t="s">
        <v>186</v>
      </c>
      <c r="R8" s="31" t="s">
        <v>186</v>
      </c>
      <c r="S8" s="31" t="s">
        <v>217</v>
      </c>
      <c r="T8" s="31" t="s">
        <v>217</v>
      </c>
      <c r="U8" s="31" t="s">
        <v>217</v>
      </c>
      <c r="V8" s="31" t="s">
        <v>217</v>
      </c>
      <c r="W8" s="31" t="s">
        <v>230</v>
      </c>
      <c r="X8" s="31" t="s">
        <v>217</v>
      </c>
      <c r="Y8" s="31" t="s">
        <v>216</v>
      </c>
      <c r="Z8" s="31" t="s">
        <v>230</v>
      </c>
      <c r="AA8" s="31" t="s">
        <v>185</v>
      </c>
      <c r="AB8" s="31" t="s">
        <v>184</v>
      </c>
      <c r="AC8" s="31" t="s">
        <v>214</v>
      </c>
      <c r="AD8" s="31" t="s">
        <v>214</v>
      </c>
      <c r="AE8" s="31">
        <v>5</v>
      </c>
      <c r="AF8" s="31">
        <v>3</v>
      </c>
      <c r="AG8" s="31">
        <v>1</v>
      </c>
      <c r="AH8" s="31">
        <v>5</v>
      </c>
      <c r="AI8" s="31">
        <v>5</v>
      </c>
      <c r="AJ8" s="31">
        <v>3</v>
      </c>
      <c r="AK8" s="31" t="s">
        <v>187</v>
      </c>
      <c r="AL8" s="31" t="s">
        <v>258</v>
      </c>
      <c r="AM8" s="31" t="s">
        <v>240</v>
      </c>
      <c r="AN8" s="31" t="s">
        <v>221</v>
      </c>
      <c r="AO8" s="31" t="s">
        <v>222</v>
      </c>
      <c r="AP8" s="31" t="s">
        <v>175</v>
      </c>
      <c r="AQ8" s="31" t="s">
        <v>263</v>
      </c>
      <c r="AR8" s="31" t="s">
        <v>264</v>
      </c>
      <c r="AS8" s="31" t="s">
        <v>265</v>
      </c>
      <c r="AT8" s="31" t="s">
        <v>266</v>
      </c>
      <c r="AU8" s="31" t="s">
        <v>45</v>
      </c>
    </row>
    <row r="9" spans="1:47" x14ac:dyDescent="0.25">
      <c r="A9" s="30">
        <v>46086.590847881947</v>
      </c>
      <c r="B9" s="31" t="s">
        <v>61</v>
      </c>
      <c r="C9" s="31" t="s">
        <v>267</v>
      </c>
      <c r="D9" s="31" t="s">
        <v>228</v>
      </c>
      <c r="E9" s="31">
        <v>150</v>
      </c>
      <c r="F9" s="31" t="s">
        <v>268</v>
      </c>
      <c r="G9" s="31" t="s">
        <v>183</v>
      </c>
      <c r="H9" s="31" t="s">
        <v>212</v>
      </c>
      <c r="I9" s="31" t="s">
        <v>185</v>
      </c>
      <c r="J9" s="31" t="s">
        <v>213</v>
      </c>
      <c r="K9" s="31" t="s">
        <v>213</v>
      </c>
      <c r="L9" s="31" t="s">
        <v>213</v>
      </c>
      <c r="M9" s="31" t="s">
        <v>186</v>
      </c>
      <c r="N9" s="31" t="s">
        <v>200</v>
      </c>
      <c r="O9" s="31" t="s">
        <v>184</v>
      </c>
      <c r="P9" s="31" t="s">
        <v>186</v>
      </c>
      <c r="Q9" s="31" t="s">
        <v>186</v>
      </c>
      <c r="R9" s="31" t="s">
        <v>186</v>
      </c>
      <c r="S9" s="31" t="s">
        <v>217</v>
      </c>
      <c r="T9" s="31" t="s">
        <v>230</v>
      </c>
      <c r="U9" s="31" t="s">
        <v>217</v>
      </c>
      <c r="V9" s="31" t="s">
        <v>215</v>
      </c>
      <c r="W9" s="31" t="s">
        <v>215</v>
      </c>
      <c r="X9" s="31" t="s">
        <v>217</v>
      </c>
      <c r="Y9" s="31" t="s">
        <v>215</v>
      </c>
      <c r="Z9" s="31" t="s">
        <v>230</v>
      </c>
      <c r="AA9" s="31" t="s">
        <v>184</v>
      </c>
      <c r="AB9" s="31" t="s">
        <v>185</v>
      </c>
      <c r="AC9" s="31" t="s">
        <v>200</v>
      </c>
      <c r="AD9" s="31" t="s">
        <v>214</v>
      </c>
      <c r="AE9" s="31">
        <v>3</v>
      </c>
      <c r="AF9" s="31">
        <v>5</v>
      </c>
      <c r="AG9" s="31">
        <v>1</v>
      </c>
      <c r="AH9" s="31">
        <v>3</v>
      </c>
      <c r="AI9" s="31">
        <v>2</v>
      </c>
      <c r="AJ9" s="31">
        <v>4</v>
      </c>
      <c r="AK9" s="31" t="s">
        <v>218</v>
      </c>
      <c r="AL9" s="31" t="s">
        <v>269</v>
      </c>
      <c r="AM9" s="31" t="s">
        <v>220</v>
      </c>
      <c r="AN9" s="31" t="s">
        <v>174</v>
      </c>
      <c r="AO9" s="31" t="s">
        <v>222</v>
      </c>
      <c r="AP9" s="31" t="s">
        <v>192</v>
      </c>
      <c r="AQ9" s="31" t="s">
        <v>270</v>
      </c>
      <c r="AR9" s="31" t="s">
        <v>271</v>
      </c>
      <c r="AS9" s="31" t="s">
        <v>195</v>
      </c>
      <c r="AT9" s="31" t="s">
        <v>272</v>
      </c>
      <c r="AU9" s="31" t="s">
        <v>45</v>
      </c>
    </row>
    <row r="10" spans="1:47" x14ac:dyDescent="0.25">
      <c r="A10" s="30">
        <v>46086.728652523147</v>
      </c>
      <c r="B10" s="31" t="s">
        <v>70</v>
      </c>
      <c r="C10" s="31" t="s">
        <v>70</v>
      </c>
      <c r="D10" s="31" t="s">
        <v>273</v>
      </c>
      <c r="E10" s="31">
        <v>145</v>
      </c>
      <c r="F10" s="31" t="s">
        <v>274</v>
      </c>
      <c r="G10" s="31" t="s">
        <v>183</v>
      </c>
      <c r="H10" s="31" t="s">
        <v>185</v>
      </c>
      <c r="I10" s="31" t="s">
        <v>185</v>
      </c>
      <c r="J10" s="31" t="s">
        <v>184</v>
      </c>
      <c r="K10" s="31" t="s">
        <v>185</v>
      </c>
      <c r="L10" s="31" t="s">
        <v>185</v>
      </c>
      <c r="M10" s="31" t="s">
        <v>186</v>
      </c>
      <c r="N10" s="31" t="s">
        <v>186</v>
      </c>
      <c r="O10" s="31" t="s">
        <v>214</v>
      </c>
      <c r="P10" s="31" t="s">
        <v>214</v>
      </c>
      <c r="Q10" s="31" t="s">
        <v>200</v>
      </c>
      <c r="R10" s="31" t="s">
        <v>200</v>
      </c>
      <c r="S10" s="31" t="s">
        <v>217</v>
      </c>
      <c r="T10" s="31" t="s">
        <v>230</v>
      </c>
      <c r="U10" s="31" t="s">
        <v>230</v>
      </c>
      <c r="V10" s="31" t="s">
        <v>215</v>
      </c>
      <c r="W10" s="31" t="s">
        <v>215</v>
      </c>
      <c r="X10" s="31" t="s">
        <v>275</v>
      </c>
      <c r="Y10" s="31" t="s">
        <v>275</v>
      </c>
      <c r="Z10" s="31" t="s">
        <v>230</v>
      </c>
      <c r="AA10" s="31" t="s">
        <v>184</v>
      </c>
      <c r="AB10" s="31" t="s">
        <v>185</v>
      </c>
      <c r="AC10" s="31" t="s">
        <v>214</v>
      </c>
      <c r="AD10" s="31" t="s">
        <v>214</v>
      </c>
      <c r="AE10" s="31">
        <v>4</v>
      </c>
      <c r="AF10" s="31">
        <v>5</v>
      </c>
      <c r="AG10" s="31">
        <v>3</v>
      </c>
      <c r="AH10" s="31">
        <v>5</v>
      </c>
      <c r="AI10" s="31">
        <v>3</v>
      </c>
      <c r="AJ10" s="31">
        <v>3</v>
      </c>
      <c r="AK10" s="31" t="s">
        <v>276</v>
      </c>
      <c r="AL10" s="31" t="s">
        <v>258</v>
      </c>
      <c r="AM10" s="31" t="s">
        <v>277</v>
      </c>
      <c r="AN10" s="31" t="s">
        <v>190</v>
      </c>
      <c r="AO10" s="31" t="s">
        <v>191</v>
      </c>
      <c r="AP10" s="31" t="s">
        <v>192</v>
      </c>
      <c r="AQ10" s="31" t="s">
        <v>233</v>
      </c>
      <c r="AR10" s="31" t="s">
        <v>278</v>
      </c>
      <c r="AS10" s="31" t="s">
        <v>225</v>
      </c>
      <c r="AT10" s="31" t="s">
        <v>279</v>
      </c>
      <c r="AU10" s="31" t="s">
        <v>45</v>
      </c>
    </row>
    <row r="11" spans="1:47" x14ac:dyDescent="0.25">
      <c r="A11" s="30">
        <v>46094.587364432868</v>
      </c>
      <c r="B11" s="31" t="s">
        <v>64</v>
      </c>
      <c r="C11" s="31" t="s">
        <v>280</v>
      </c>
      <c r="D11" s="31" t="s">
        <v>209</v>
      </c>
      <c r="E11" s="31">
        <v>5</v>
      </c>
      <c r="F11" s="31" t="s">
        <v>281</v>
      </c>
      <c r="G11" s="31" t="s">
        <v>183</v>
      </c>
      <c r="H11" s="31" t="s">
        <v>213</v>
      </c>
      <c r="I11" s="31" t="s">
        <v>184</v>
      </c>
      <c r="J11" s="31" t="s">
        <v>185</v>
      </c>
      <c r="K11" s="31" t="s">
        <v>185</v>
      </c>
      <c r="L11" s="31" t="s">
        <v>185</v>
      </c>
      <c r="M11" s="31" t="s">
        <v>186</v>
      </c>
      <c r="N11" s="31" t="s">
        <v>186</v>
      </c>
      <c r="O11" s="31" t="s">
        <v>186</v>
      </c>
      <c r="P11" s="31" t="s">
        <v>214</v>
      </c>
      <c r="Q11" s="31" t="s">
        <v>184</v>
      </c>
      <c r="R11" s="31" t="s">
        <v>186</v>
      </c>
      <c r="S11" s="31" t="s">
        <v>217</v>
      </c>
      <c r="T11" s="31" t="s">
        <v>217</v>
      </c>
      <c r="U11" s="31" t="s">
        <v>217</v>
      </c>
      <c r="V11" s="31" t="s">
        <v>217</v>
      </c>
      <c r="W11" s="31" t="s">
        <v>217</v>
      </c>
      <c r="X11" s="31" t="s">
        <v>230</v>
      </c>
      <c r="Y11" s="31" t="s">
        <v>230</v>
      </c>
      <c r="Z11" s="31" t="s">
        <v>217</v>
      </c>
      <c r="AA11" s="31" t="s">
        <v>184</v>
      </c>
      <c r="AB11" s="31" t="s">
        <v>185</v>
      </c>
      <c r="AC11" s="31" t="s">
        <v>186</v>
      </c>
      <c r="AD11" s="31" t="s">
        <v>186</v>
      </c>
      <c r="AE11" s="31">
        <v>4</v>
      </c>
      <c r="AF11" s="31">
        <v>1</v>
      </c>
      <c r="AG11" s="31">
        <v>2</v>
      </c>
      <c r="AH11" s="31">
        <v>5</v>
      </c>
      <c r="AI11" s="31">
        <v>2</v>
      </c>
      <c r="AJ11" s="31">
        <v>4</v>
      </c>
      <c r="AK11" s="31" t="s">
        <v>246</v>
      </c>
      <c r="AL11" s="31" t="s">
        <v>258</v>
      </c>
      <c r="AM11" s="31" t="s">
        <v>282</v>
      </c>
      <c r="AN11" s="31" t="s">
        <v>202</v>
      </c>
      <c r="AO11" s="31" t="s">
        <v>283</v>
      </c>
      <c r="AP11" s="31" t="s">
        <v>192</v>
      </c>
      <c r="AQ11" s="31" t="s">
        <v>284</v>
      </c>
      <c r="AR11" s="31" t="s">
        <v>285</v>
      </c>
      <c r="AS11" s="31" t="s">
        <v>195</v>
      </c>
      <c r="AT11" s="31" t="s">
        <v>226</v>
      </c>
      <c r="AU11" s="31" t="s">
        <v>45</v>
      </c>
    </row>
    <row r="12" spans="1:47" x14ac:dyDescent="0.25">
      <c r="A12" s="30">
        <v>46099.68576206018</v>
      </c>
      <c r="B12" s="31" t="s">
        <v>77</v>
      </c>
      <c r="C12" s="31" t="s">
        <v>286</v>
      </c>
      <c r="D12" s="31" t="s">
        <v>209</v>
      </c>
      <c r="E12" s="31">
        <v>64</v>
      </c>
      <c r="F12" s="31" t="s">
        <v>287</v>
      </c>
      <c r="G12" s="31" t="s">
        <v>183</v>
      </c>
      <c r="H12" s="31" t="s">
        <v>213</v>
      </c>
      <c r="I12" s="31" t="s">
        <v>185</v>
      </c>
      <c r="J12" s="31" t="s">
        <v>185</v>
      </c>
      <c r="K12" s="31" t="s">
        <v>213</v>
      </c>
      <c r="L12" s="31" t="s">
        <v>212</v>
      </c>
      <c r="M12" s="31" t="s">
        <v>186</v>
      </c>
      <c r="N12" s="31" t="s">
        <v>186</v>
      </c>
      <c r="O12" s="31" t="s">
        <v>200</v>
      </c>
      <c r="P12" s="31" t="s">
        <v>186</v>
      </c>
      <c r="Q12" s="31" t="s">
        <v>186</v>
      </c>
      <c r="R12" s="31" t="s">
        <v>186</v>
      </c>
      <c r="S12" s="31" t="s">
        <v>217</v>
      </c>
      <c r="T12" s="31" t="s">
        <v>217</v>
      </c>
      <c r="U12" s="31" t="s">
        <v>217</v>
      </c>
      <c r="V12" s="31" t="s">
        <v>217</v>
      </c>
      <c r="W12" s="31" t="s">
        <v>230</v>
      </c>
      <c r="X12" s="31" t="s">
        <v>230</v>
      </c>
      <c r="Y12" s="31" t="s">
        <v>215</v>
      </c>
      <c r="Z12" s="31" t="s">
        <v>217</v>
      </c>
      <c r="AA12" s="31" t="s">
        <v>184</v>
      </c>
      <c r="AB12" s="31" t="s">
        <v>185</v>
      </c>
      <c r="AC12" s="31" t="s">
        <v>214</v>
      </c>
      <c r="AD12" s="31" t="s">
        <v>200</v>
      </c>
      <c r="AE12" s="31">
        <v>4</v>
      </c>
      <c r="AF12" s="31">
        <v>2</v>
      </c>
      <c r="AG12" s="31">
        <v>2</v>
      </c>
      <c r="AH12" s="31">
        <v>4</v>
      </c>
      <c r="AI12" s="31">
        <v>2</v>
      </c>
      <c r="AJ12" s="31">
        <v>4</v>
      </c>
      <c r="AK12" s="31" t="s">
        <v>172</v>
      </c>
      <c r="AL12" s="31" t="s">
        <v>288</v>
      </c>
      <c r="AM12" s="31" t="s">
        <v>282</v>
      </c>
      <c r="AN12" s="31" t="s">
        <v>202</v>
      </c>
      <c r="AO12" s="31" t="s">
        <v>203</v>
      </c>
      <c r="AP12" s="31" t="s">
        <v>192</v>
      </c>
      <c r="AQ12" s="31" t="s">
        <v>233</v>
      </c>
      <c r="AR12" s="31" t="s">
        <v>289</v>
      </c>
      <c r="AS12" s="31" t="s">
        <v>195</v>
      </c>
      <c r="AT12" s="31" t="s">
        <v>226</v>
      </c>
      <c r="AU12" s="31" t="s">
        <v>45</v>
      </c>
    </row>
    <row r="13" spans="1:47" x14ac:dyDescent="0.25">
      <c r="A13" s="30">
        <v>46122.512028020836</v>
      </c>
      <c r="B13" s="31" t="s">
        <v>55</v>
      </c>
      <c r="C13" s="31" t="s">
        <v>55</v>
      </c>
      <c r="D13" s="31" t="s">
        <v>237</v>
      </c>
      <c r="E13" s="31">
        <v>8</v>
      </c>
      <c r="F13" s="31">
        <v>2500</v>
      </c>
      <c r="G13" s="31" t="s">
        <v>183</v>
      </c>
      <c r="H13" s="31" t="s">
        <v>185</v>
      </c>
      <c r="I13" s="31" t="s">
        <v>185</v>
      </c>
      <c r="J13" s="31" t="s">
        <v>185</v>
      </c>
      <c r="K13" s="31" t="s">
        <v>185</v>
      </c>
      <c r="L13" s="31" t="s">
        <v>184</v>
      </c>
      <c r="M13" s="31" t="s">
        <v>186</v>
      </c>
      <c r="N13" s="31" t="s">
        <v>186</v>
      </c>
      <c r="O13" s="31" t="s">
        <v>184</v>
      </c>
      <c r="P13" s="31" t="s">
        <v>186</v>
      </c>
      <c r="Q13" s="31" t="s">
        <v>186</v>
      </c>
      <c r="R13" s="31" t="s">
        <v>186</v>
      </c>
      <c r="S13" s="31" t="s">
        <v>217</v>
      </c>
      <c r="T13" s="31" t="s">
        <v>217</v>
      </c>
      <c r="U13" s="31" t="s">
        <v>217</v>
      </c>
      <c r="V13" s="31" t="s">
        <v>217</v>
      </c>
      <c r="W13" s="31" t="s">
        <v>217</v>
      </c>
      <c r="X13" s="31" t="s">
        <v>217</v>
      </c>
      <c r="Y13" s="31" t="s">
        <v>217</v>
      </c>
      <c r="Z13" s="31" t="s">
        <v>217</v>
      </c>
      <c r="AA13" s="31" t="s">
        <v>184</v>
      </c>
      <c r="AB13" s="31" t="s">
        <v>185</v>
      </c>
      <c r="AC13" s="31" t="s">
        <v>214</v>
      </c>
      <c r="AD13" s="31" t="s">
        <v>186</v>
      </c>
      <c r="AE13" s="31">
        <v>5</v>
      </c>
      <c r="AF13" s="31">
        <v>1</v>
      </c>
      <c r="AG13" s="31">
        <v>2</v>
      </c>
      <c r="AH13" s="31">
        <v>5</v>
      </c>
      <c r="AI13" s="31">
        <v>2</v>
      </c>
      <c r="AJ13" s="31">
        <v>3</v>
      </c>
      <c r="AK13" s="31" t="s">
        <v>187</v>
      </c>
      <c r="AL13" s="31" t="s">
        <v>290</v>
      </c>
      <c r="AM13" s="31" t="s">
        <v>240</v>
      </c>
      <c r="AN13" s="31" t="s">
        <v>221</v>
      </c>
      <c r="AO13" s="31" t="s">
        <v>291</v>
      </c>
      <c r="AP13" s="31" t="s">
        <v>192</v>
      </c>
      <c r="AQ13" s="31" t="s">
        <v>233</v>
      </c>
      <c r="AR13" s="31" t="s">
        <v>292</v>
      </c>
      <c r="AS13" s="31" t="s">
        <v>225</v>
      </c>
      <c r="AT13" s="31" t="s">
        <v>293</v>
      </c>
      <c r="AU13" s="31" t="s">
        <v>45</v>
      </c>
    </row>
    <row r="14" spans="1:47" x14ac:dyDescent="0.25">
      <c r="A14" s="30">
        <v>46189.517532546291</v>
      </c>
      <c r="B14" s="31" t="s">
        <v>39</v>
      </c>
      <c r="C14" s="31" t="s">
        <v>294</v>
      </c>
      <c r="D14" s="31" t="s">
        <v>237</v>
      </c>
      <c r="E14" s="31">
        <v>12</v>
      </c>
      <c r="F14" s="31" t="s">
        <v>295</v>
      </c>
      <c r="G14" s="31" t="s">
        <v>183</v>
      </c>
      <c r="H14" s="31" t="s">
        <v>185</v>
      </c>
      <c r="I14" s="31" t="s">
        <v>212</v>
      </c>
      <c r="J14" s="31" t="s">
        <v>185</v>
      </c>
      <c r="K14" s="31" t="s">
        <v>185</v>
      </c>
      <c r="L14" s="31" t="s">
        <v>185</v>
      </c>
      <c r="M14" s="31" t="s">
        <v>186</v>
      </c>
      <c r="N14" s="31" t="s">
        <v>186</v>
      </c>
      <c r="O14" s="31" t="s">
        <v>186</v>
      </c>
      <c r="P14" s="31" t="s">
        <v>214</v>
      </c>
      <c r="Q14" s="31" t="s">
        <v>184</v>
      </c>
      <c r="R14" s="31" t="s">
        <v>184</v>
      </c>
      <c r="S14" s="31" t="s">
        <v>217</v>
      </c>
      <c r="T14" s="31" t="s">
        <v>215</v>
      </c>
      <c r="U14" s="31" t="s">
        <v>215</v>
      </c>
      <c r="V14" s="31" t="s">
        <v>215</v>
      </c>
      <c r="W14" s="31" t="s">
        <v>216</v>
      </c>
      <c r="X14" s="31" t="s">
        <v>275</v>
      </c>
      <c r="Y14" s="31" t="s">
        <v>216</v>
      </c>
      <c r="Z14" s="31" t="s">
        <v>230</v>
      </c>
      <c r="AA14" s="31" t="s">
        <v>184</v>
      </c>
      <c r="AB14" s="31" t="s">
        <v>238</v>
      </c>
      <c r="AC14" s="31" t="s">
        <v>186</v>
      </c>
      <c r="AD14" s="31" t="s">
        <v>186</v>
      </c>
      <c r="AE14" s="31">
        <v>4</v>
      </c>
      <c r="AF14" s="31">
        <v>1</v>
      </c>
      <c r="AG14" s="31">
        <v>1</v>
      </c>
      <c r="AH14" s="31">
        <v>5</v>
      </c>
      <c r="AI14" s="31">
        <v>4</v>
      </c>
      <c r="AJ14" s="31">
        <v>3</v>
      </c>
      <c r="AK14" s="31" t="s">
        <v>246</v>
      </c>
      <c r="AL14" s="31" t="s">
        <v>258</v>
      </c>
      <c r="AM14" s="31" t="s">
        <v>240</v>
      </c>
      <c r="AN14" s="31" t="s">
        <v>202</v>
      </c>
      <c r="AO14" s="31" t="s">
        <v>191</v>
      </c>
      <c r="AP14" s="31" t="s">
        <v>192</v>
      </c>
      <c r="AQ14" s="31" t="s">
        <v>284</v>
      </c>
      <c r="AR14" s="31" t="s">
        <v>242</v>
      </c>
      <c r="AS14" s="31" t="s">
        <v>296</v>
      </c>
      <c r="AT14" s="31" t="s">
        <v>297</v>
      </c>
      <c r="AU14" s="31" t="s">
        <v>45</v>
      </c>
    </row>
    <row r="15" spans="1:47" x14ac:dyDescent="0.25">
      <c r="A15" s="30">
        <v>46203.61120417824</v>
      </c>
      <c r="B15" s="31" t="s">
        <v>61</v>
      </c>
      <c r="C15" s="31" t="s">
        <v>298</v>
      </c>
      <c r="D15" s="31" t="s">
        <v>237</v>
      </c>
      <c r="E15" s="31">
        <v>52</v>
      </c>
      <c r="F15" s="31" t="s">
        <v>299</v>
      </c>
      <c r="G15" s="31" t="s">
        <v>183</v>
      </c>
      <c r="H15" s="31" t="s">
        <v>212</v>
      </c>
      <c r="I15" s="31" t="s">
        <v>212</v>
      </c>
      <c r="J15" s="31" t="s">
        <v>185</v>
      </c>
      <c r="K15" s="31" t="s">
        <v>213</v>
      </c>
      <c r="L15" s="31" t="s">
        <v>213</v>
      </c>
      <c r="M15" s="31" t="s">
        <v>186</v>
      </c>
      <c r="N15" s="31" t="s">
        <v>186</v>
      </c>
      <c r="O15" s="31" t="s">
        <v>200</v>
      </c>
      <c r="P15" s="31" t="s">
        <v>214</v>
      </c>
      <c r="Q15" s="31" t="s">
        <v>186</v>
      </c>
      <c r="R15" s="31" t="s">
        <v>186</v>
      </c>
      <c r="S15" s="31" t="s">
        <v>215</v>
      </c>
      <c r="T15" s="31" t="s">
        <v>215</v>
      </c>
      <c r="U15" s="31" t="s">
        <v>216</v>
      </c>
      <c r="V15" s="31" t="s">
        <v>230</v>
      </c>
      <c r="W15" s="31" t="s">
        <v>216</v>
      </c>
      <c r="X15" s="31" t="s">
        <v>215</v>
      </c>
      <c r="Y15" s="31" t="s">
        <v>275</v>
      </c>
      <c r="Z15" s="31" t="s">
        <v>215</v>
      </c>
      <c r="AA15" s="31" t="s">
        <v>184</v>
      </c>
      <c r="AB15" s="31" t="s">
        <v>238</v>
      </c>
      <c r="AC15" s="31" t="s">
        <v>186</v>
      </c>
      <c r="AD15" s="31" t="s">
        <v>186</v>
      </c>
      <c r="AE15" s="31">
        <v>2</v>
      </c>
      <c r="AF15" s="31">
        <v>3</v>
      </c>
      <c r="AG15" s="31">
        <v>2</v>
      </c>
      <c r="AH15" s="31">
        <v>2</v>
      </c>
      <c r="AI15" s="31">
        <v>1</v>
      </c>
      <c r="AJ15" s="31">
        <v>5</v>
      </c>
      <c r="AK15" s="31" t="s">
        <v>172</v>
      </c>
      <c r="AL15" s="31" t="s">
        <v>288</v>
      </c>
      <c r="AM15" s="31" t="s">
        <v>220</v>
      </c>
      <c r="AN15" s="31" t="s">
        <v>190</v>
      </c>
      <c r="AO15" s="31" t="s">
        <v>191</v>
      </c>
      <c r="AP15" s="31" t="s">
        <v>192</v>
      </c>
      <c r="AQ15" s="31" t="s">
        <v>241</v>
      </c>
      <c r="AR15" s="31" t="s">
        <v>292</v>
      </c>
      <c r="AS15" s="31" t="s">
        <v>195</v>
      </c>
      <c r="AT15" s="31" t="s">
        <v>293</v>
      </c>
      <c r="AU15" s="31" t="s">
        <v>45</v>
      </c>
    </row>
    <row r="16" spans="1:47" x14ac:dyDescent="0.25">
      <c r="A16" s="30">
        <v>46213.599778414355</v>
      </c>
      <c r="B16" s="31" t="s">
        <v>70</v>
      </c>
      <c r="C16" s="31" t="s">
        <v>300</v>
      </c>
      <c r="D16" s="31" t="s">
        <v>209</v>
      </c>
      <c r="E16" s="31">
        <v>200</v>
      </c>
      <c r="F16" s="31" t="s">
        <v>301</v>
      </c>
      <c r="G16" s="31" t="s">
        <v>183</v>
      </c>
      <c r="H16" s="31" t="s">
        <v>185</v>
      </c>
      <c r="I16" s="31" t="s">
        <v>185</v>
      </c>
      <c r="J16" s="31" t="s">
        <v>184</v>
      </c>
      <c r="K16" s="31" t="s">
        <v>185</v>
      </c>
      <c r="L16" s="31" t="s">
        <v>185</v>
      </c>
      <c r="M16" s="31" t="s">
        <v>186</v>
      </c>
      <c r="N16" s="31" t="s">
        <v>186</v>
      </c>
      <c r="O16" s="31" t="s">
        <v>214</v>
      </c>
      <c r="P16" s="31" t="s">
        <v>214</v>
      </c>
      <c r="Q16" s="31" t="s">
        <v>214</v>
      </c>
      <c r="R16" s="31" t="s">
        <v>214</v>
      </c>
      <c r="S16" s="31" t="s">
        <v>217</v>
      </c>
      <c r="T16" s="31" t="s">
        <v>217</v>
      </c>
      <c r="U16" s="31" t="s">
        <v>217</v>
      </c>
      <c r="V16" s="31" t="s">
        <v>217</v>
      </c>
      <c r="W16" s="31" t="s">
        <v>230</v>
      </c>
      <c r="X16" s="31" t="s">
        <v>275</v>
      </c>
      <c r="Y16" s="31" t="s">
        <v>215</v>
      </c>
      <c r="Z16" s="31" t="s">
        <v>230</v>
      </c>
      <c r="AA16" s="31" t="s">
        <v>184</v>
      </c>
      <c r="AB16" s="31" t="s">
        <v>245</v>
      </c>
      <c r="AC16" s="31" t="s">
        <v>200</v>
      </c>
      <c r="AD16" s="31" t="s">
        <v>186</v>
      </c>
      <c r="AE16" s="31">
        <v>3</v>
      </c>
      <c r="AF16" s="31">
        <v>3</v>
      </c>
      <c r="AG16" s="31">
        <v>2</v>
      </c>
      <c r="AH16" s="31">
        <v>5</v>
      </c>
      <c r="AI16" s="31">
        <v>3</v>
      </c>
      <c r="AJ16" s="31">
        <v>3</v>
      </c>
      <c r="AK16" s="31" t="s">
        <v>246</v>
      </c>
      <c r="AL16" s="31" t="s">
        <v>219</v>
      </c>
      <c r="AM16" s="31" t="s">
        <v>240</v>
      </c>
      <c r="AN16" s="31" t="s">
        <v>221</v>
      </c>
      <c r="AO16" s="31" t="s">
        <v>222</v>
      </c>
      <c r="AP16" s="31" t="s">
        <v>204</v>
      </c>
      <c r="AQ16" s="31" t="s">
        <v>233</v>
      </c>
      <c r="AR16" s="31" t="s">
        <v>242</v>
      </c>
      <c r="AS16" s="31" t="s">
        <v>195</v>
      </c>
      <c r="AT16" s="31" t="s">
        <v>302</v>
      </c>
      <c r="AU16" s="31" t="s">
        <v>45</v>
      </c>
    </row>
    <row r="17" spans="1:47" x14ac:dyDescent="0.25">
      <c r="A17" s="30">
        <v>46213.622665856485</v>
      </c>
      <c r="B17" s="31" t="s">
        <v>303</v>
      </c>
      <c r="C17" s="31" t="s">
        <v>70</v>
      </c>
      <c r="D17" s="31" t="s">
        <v>228</v>
      </c>
      <c r="E17" s="31">
        <v>650</v>
      </c>
      <c r="F17" s="31" t="s">
        <v>304</v>
      </c>
      <c r="G17" s="31" t="s">
        <v>183</v>
      </c>
      <c r="H17" s="31" t="s">
        <v>185</v>
      </c>
      <c r="I17" s="31" t="s">
        <v>185</v>
      </c>
      <c r="J17" s="31" t="s">
        <v>212</v>
      </c>
      <c r="K17" s="31" t="s">
        <v>185</v>
      </c>
      <c r="L17" s="31" t="s">
        <v>185</v>
      </c>
      <c r="M17" s="31" t="s">
        <v>186</v>
      </c>
      <c r="N17" s="31" t="s">
        <v>186</v>
      </c>
      <c r="O17" s="31" t="s">
        <v>186</v>
      </c>
      <c r="P17" s="31" t="s">
        <v>214</v>
      </c>
      <c r="Q17" s="31" t="s">
        <v>214</v>
      </c>
      <c r="R17" s="31" t="s">
        <v>186</v>
      </c>
      <c r="S17" s="31" t="s">
        <v>230</v>
      </c>
      <c r="T17" s="31" t="s">
        <v>230</v>
      </c>
      <c r="U17" s="31" t="s">
        <v>217</v>
      </c>
      <c r="V17" s="31" t="s">
        <v>230</v>
      </c>
      <c r="W17" s="31" t="s">
        <v>217</v>
      </c>
      <c r="X17" s="31" t="s">
        <v>230</v>
      </c>
      <c r="Y17" s="31" t="s">
        <v>275</v>
      </c>
      <c r="Z17" s="31" t="s">
        <v>230</v>
      </c>
      <c r="AA17" s="31" t="s">
        <v>184</v>
      </c>
      <c r="AB17" s="31" t="s">
        <v>185</v>
      </c>
      <c r="AC17" s="31" t="s">
        <v>186</v>
      </c>
      <c r="AD17" s="31" t="s">
        <v>186</v>
      </c>
      <c r="AE17" s="31">
        <v>4</v>
      </c>
      <c r="AF17" s="31">
        <v>4</v>
      </c>
      <c r="AG17" s="31">
        <v>3</v>
      </c>
      <c r="AH17" s="31">
        <v>3</v>
      </c>
      <c r="AI17" s="31">
        <v>4</v>
      </c>
      <c r="AJ17" s="31">
        <v>3</v>
      </c>
      <c r="AK17" s="31" t="s">
        <v>172</v>
      </c>
      <c r="AL17" s="31" t="s">
        <v>258</v>
      </c>
      <c r="AM17" s="31" t="s">
        <v>189</v>
      </c>
      <c r="AN17" s="31" t="s">
        <v>202</v>
      </c>
      <c r="AO17" s="31" t="s">
        <v>222</v>
      </c>
      <c r="AP17" s="31" t="s">
        <v>192</v>
      </c>
      <c r="AQ17" s="31" t="s">
        <v>233</v>
      </c>
      <c r="AR17" s="31" t="s">
        <v>305</v>
      </c>
      <c r="AS17" s="31" t="s">
        <v>265</v>
      </c>
      <c r="AT17" s="31" t="s">
        <v>306</v>
      </c>
      <c r="AU17" s="31" t="s">
        <v>45</v>
      </c>
    </row>
    <row r="18" spans="1:47" x14ac:dyDescent="0.25">
      <c r="A18" s="30">
        <v>46213.675871898144</v>
      </c>
      <c r="B18" s="31" t="s">
        <v>70</v>
      </c>
      <c r="C18" s="31" t="s">
        <v>307</v>
      </c>
      <c r="D18" s="31" t="s">
        <v>228</v>
      </c>
      <c r="E18" s="31">
        <v>450</v>
      </c>
      <c r="F18" s="31" t="s">
        <v>308</v>
      </c>
      <c r="G18" s="31" t="s">
        <v>183</v>
      </c>
      <c r="H18" s="31" t="s">
        <v>185</v>
      </c>
      <c r="I18" s="31" t="s">
        <v>185</v>
      </c>
      <c r="J18" s="31" t="s">
        <v>212</v>
      </c>
      <c r="K18" s="31" t="s">
        <v>185</v>
      </c>
      <c r="L18" s="31" t="s">
        <v>185</v>
      </c>
      <c r="M18" s="31" t="s">
        <v>186</v>
      </c>
      <c r="N18" s="31" t="s">
        <v>186</v>
      </c>
      <c r="O18" s="31" t="s">
        <v>214</v>
      </c>
      <c r="P18" s="31" t="s">
        <v>186</v>
      </c>
      <c r="Q18" s="31" t="s">
        <v>214</v>
      </c>
      <c r="R18" s="31" t="s">
        <v>186</v>
      </c>
      <c r="S18" s="31" t="s">
        <v>217</v>
      </c>
      <c r="T18" s="31" t="s">
        <v>230</v>
      </c>
      <c r="U18" s="31" t="s">
        <v>217</v>
      </c>
      <c r="V18" s="31" t="s">
        <v>230</v>
      </c>
      <c r="W18" s="31" t="s">
        <v>230</v>
      </c>
      <c r="X18" s="31" t="s">
        <v>230</v>
      </c>
      <c r="Y18" s="31" t="s">
        <v>275</v>
      </c>
      <c r="Z18" s="31" t="s">
        <v>217</v>
      </c>
      <c r="AA18" s="31" t="s">
        <v>184</v>
      </c>
      <c r="AB18" s="31" t="s">
        <v>245</v>
      </c>
      <c r="AC18" s="31" t="s">
        <v>200</v>
      </c>
      <c r="AD18" s="31" t="s">
        <v>214</v>
      </c>
      <c r="AE18" s="31">
        <v>5</v>
      </c>
      <c r="AF18" s="31">
        <v>3</v>
      </c>
      <c r="AG18" s="31">
        <v>5</v>
      </c>
      <c r="AH18" s="31">
        <v>2</v>
      </c>
      <c r="AI18" s="31">
        <v>2</v>
      </c>
      <c r="AJ18" s="31">
        <v>4</v>
      </c>
      <c r="AK18" s="31" t="s">
        <v>246</v>
      </c>
      <c r="AL18" s="31" t="s">
        <v>309</v>
      </c>
      <c r="AM18" s="31" t="s">
        <v>240</v>
      </c>
      <c r="AN18" s="31" t="s">
        <v>174</v>
      </c>
      <c r="AO18" s="31" t="s">
        <v>310</v>
      </c>
      <c r="AP18" s="31" t="s">
        <v>311</v>
      </c>
      <c r="AQ18" s="31" t="s">
        <v>233</v>
      </c>
      <c r="AR18" s="31" t="s">
        <v>312</v>
      </c>
      <c r="AS18" s="31" t="s">
        <v>178</v>
      </c>
      <c r="AT18" s="31" t="s">
        <v>313</v>
      </c>
      <c r="AU18" s="31" t="s">
        <v>45</v>
      </c>
    </row>
    <row r="19" spans="1:47" x14ac:dyDescent="0.25">
      <c r="A19" s="30">
        <v>46216.486637627313</v>
      </c>
      <c r="B19" s="31" t="s">
        <v>70</v>
      </c>
      <c r="C19" s="31" t="s">
        <v>314</v>
      </c>
      <c r="D19" s="31" t="s">
        <v>237</v>
      </c>
      <c r="E19" s="31">
        <v>69</v>
      </c>
      <c r="F19" s="31" t="s">
        <v>315</v>
      </c>
      <c r="G19" s="31" t="s">
        <v>183</v>
      </c>
      <c r="H19" s="31" t="s">
        <v>185</v>
      </c>
      <c r="I19" s="31" t="s">
        <v>185</v>
      </c>
      <c r="J19" s="31" t="s">
        <v>212</v>
      </c>
      <c r="K19" s="31" t="s">
        <v>185</v>
      </c>
      <c r="L19" s="31" t="s">
        <v>185</v>
      </c>
      <c r="M19" s="31" t="s">
        <v>186</v>
      </c>
      <c r="N19" s="31" t="s">
        <v>186</v>
      </c>
      <c r="O19" s="31" t="s">
        <v>200</v>
      </c>
      <c r="P19" s="31" t="s">
        <v>186</v>
      </c>
      <c r="Q19" s="31" t="s">
        <v>214</v>
      </c>
      <c r="R19" s="31" t="s">
        <v>214</v>
      </c>
      <c r="S19" s="31" t="s">
        <v>217</v>
      </c>
      <c r="T19" s="31" t="s">
        <v>217</v>
      </c>
      <c r="U19" s="31" t="s">
        <v>217</v>
      </c>
      <c r="V19" s="31" t="s">
        <v>217</v>
      </c>
      <c r="W19" s="31" t="s">
        <v>217</v>
      </c>
      <c r="X19" s="31" t="s">
        <v>217</v>
      </c>
      <c r="Y19" s="31" t="s">
        <v>217</v>
      </c>
      <c r="Z19" s="31" t="s">
        <v>217</v>
      </c>
      <c r="AA19" s="31" t="s">
        <v>184</v>
      </c>
      <c r="AB19" s="31" t="s">
        <v>185</v>
      </c>
      <c r="AC19" s="31" t="s">
        <v>214</v>
      </c>
      <c r="AD19" s="31" t="s">
        <v>200</v>
      </c>
      <c r="AE19" s="31">
        <v>4</v>
      </c>
      <c r="AF19" s="31">
        <v>2</v>
      </c>
      <c r="AG19" s="31">
        <v>2</v>
      </c>
      <c r="AH19" s="31">
        <v>5</v>
      </c>
      <c r="AI19" s="31">
        <v>1</v>
      </c>
      <c r="AJ19" s="31">
        <v>4</v>
      </c>
      <c r="AK19" s="31" t="s">
        <v>246</v>
      </c>
      <c r="AL19" s="31" t="s">
        <v>316</v>
      </c>
      <c r="AM19" s="31" t="s">
        <v>282</v>
      </c>
      <c r="AN19" s="31" t="s">
        <v>221</v>
      </c>
      <c r="AO19" s="31" t="s">
        <v>191</v>
      </c>
      <c r="AP19" s="31" t="s">
        <v>311</v>
      </c>
      <c r="AQ19" s="31" t="s">
        <v>317</v>
      </c>
      <c r="AR19" s="31" t="s">
        <v>292</v>
      </c>
      <c r="AS19" s="31" t="s">
        <v>195</v>
      </c>
      <c r="AT19" s="31" t="s">
        <v>260</v>
      </c>
      <c r="AU19" s="31" t="s">
        <v>45</v>
      </c>
    </row>
    <row r="20" spans="1:47" x14ac:dyDescent="0.25">
      <c r="A20" s="30">
        <v>46216.50166707176</v>
      </c>
      <c r="B20" s="31" t="s">
        <v>64</v>
      </c>
      <c r="C20" s="31" t="s">
        <v>318</v>
      </c>
      <c r="D20" s="31" t="s">
        <v>228</v>
      </c>
      <c r="E20" s="31">
        <v>8</v>
      </c>
      <c r="F20" s="31" t="s">
        <v>299</v>
      </c>
      <c r="G20" s="31" t="s">
        <v>183</v>
      </c>
      <c r="H20" s="31" t="s">
        <v>184</v>
      </c>
      <c r="I20" s="31" t="s">
        <v>184</v>
      </c>
      <c r="J20" s="31" t="s">
        <v>185</v>
      </c>
      <c r="K20" s="31" t="s">
        <v>212</v>
      </c>
      <c r="L20" s="31" t="s">
        <v>212</v>
      </c>
      <c r="M20" s="31" t="s">
        <v>186</v>
      </c>
      <c r="N20" s="31" t="s">
        <v>186</v>
      </c>
      <c r="O20" s="31" t="s">
        <v>200</v>
      </c>
      <c r="P20" s="31" t="s">
        <v>200</v>
      </c>
      <c r="Q20" s="31" t="s">
        <v>186</v>
      </c>
      <c r="R20" s="31" t="s">
        <v>186</v>
      </c>
      <c r="S20" s="31" t="s">
        <v>217</v>
      </c>
      <c r="T20" s="31" t="s">
        <v>215</v>
      </c>
      <c r="U20" s="31" t="s">
        <v>215</v>
      </c>
      <c r="V20" s="31" t="s">
        <v>215</v>
      </c>
      <c r="W20" s="31" t="s">
        <v>216</v>
      </c>
      <c r="X20" s="31" t="s">
        <v>275</v>
      </c>
      <c r="Y20" s="31" t="s">
        <v>275</v>
      </c>
      <c r="Z20" s="31" t="s">
        <v>217</v>
      </c>
      <c r="AA20" s="31" t="s">
        <v>184</v>
      </c>
      <c r="AB20" s="31" t="s">
        <v>238</v>
      </c>
      <c r="AC20" s="31" t="s">
        <v>186</v>
      </c>
      <c r="AD20" s="31" t="s">
        <v>214</v>
      </c>
      <c r="AE20" s="31">
        <v>1</v>
      </c>
      <c r="AF20" s="31">
        <v>3</v>
      </c>
      <c r="AG20" s="31">
        <v>1</v>
      </c>
      <c r="AH20" s="31">
        <v>5</v>
      </c>
      <c r="AI20" s="31">
        <v>1</v>
      </c>
      <c r="AJ20" s="31">
        <v>3</v>
      </c>
      <c r="AK20" s="31" t="s">
        <v>246</v>
      </c>
      <c r="AL20" s="31" t="s">
        <v>258</v>
      </c>
      <c r="AM20" s="31" t="s">
        <v>319</v>
      </c>
      <c r="AN20" s="31" t="s">
        <v>202</v>
      </c>
      <c r="AO20" s="31" t="s">
        <v>191</v>
      </c>
      <c r="AP20" s="31" t="s">
        <v>192</v>
      </c>
      <c r="AQ20" s="31" t="s">
        <v>241</v>
      </c>
      <c r="AR20" s="31" t="s">
        <v>254</v>
      </c>
      <c r="AS20" s="31" t="s">
        <v>178</v>
      </c>
      <c r="AT20" s="31" t="s">
        <v>226</v>
      </c>
      <c r="AU20" s="31" t="s">
        <v>45</v>
      </c>
    </row>
    <row r="21" spans="1:47" x14ac:dyDescent="0.25">
      <c r="A21" s="30">
        <v>46216.532980162039</v>
      </c>
      <c r="B21" s="31" t="s">
        <v>208</v>
      </c>
      <c r="C21" s="31" t="s">
        <v>29</v>
      </c>
      <c r="D21" s="31" t="s">
        <v>209</v>
      </c>
      <c r="E21" s="31">
        <v>7</v>
      </c>
      <c r="F21" s="31" t="s">
        <v>320</v>
      </c>
      <c r="G21" s="31" t="s">
        <v>183</v>
      </c>
      <c r="H21" s="31" t="s">
        <v>212</v>
      </c>
      <c r="I21" s="31" t="s">
        <v>185</v>
      </c>
      <c r="J21" s="31" t="s">
        <v>185</v>
      </c>
      <c r="K21" s="31" t="s">
        <v>213</v>
      </c>
      <c r="L21" s="31" t="s">
        <v>212</v>
      </c>
      <c r="M21" s="31" t="s">
        <v>186</v>
      </c>
      <c r="N21" s="31" t="s">
        <v>186</v>
      </c>
      <c r="O21" s="31" t="s">
        <v>186</v>
      </c>
      <c r="P21" s="31" t="s">
        <v>214</v>
      </c>
      <c r="Q21" s="31" t="s">
        <v>186</v>
      </c>
      <c r="R21" s="31" t="s">
        <v>186</v>
      </c>
      <c r="S21" s="31" t="s">
        <v>215</v>
      </c>
      <c r="T21" s="31" t="s">
        <v>215</v>
      </c>
      <c r="U21" s="31" t="s">
        <v>230</v>
      </c>
      <c r="V21" s="31" t="s">
        <v>215</v>
      </c>
      <c r="W21" s="31" t="s">
        <v>217</v>
      </c>
      <c r="X21" s="31" t="s">
        <v>230</v>
      </c>
      <c r="Y21" s="31" t="s">
        <v>217</v>
      </c>
      <c r="Z21" s="31" t="s">
        <v>217</v>
      </c>
      <c r="AA21" s="31" t="s">
        <v>238</v>
      </c>
      <c r="AB21" s="31" t="s">
        <v>245</v>
      </c>
      <c r="AC21" s="31" t="s">
        <v>214</v>
      </c>
      <c r="AD21" s="31" t="s">
        <v>186</v>
      </c>
      <c r="AE21" s="31">
        <v>4</v>
      </c>
      <c r="AF21" s="31">
        <v>4</v>
      </c>
      <c r="AG21" s="31">
        <v>3</v>
      </c>
      <c r="AH21" s="31">
        <v>2</v>
      </c>
      <c r="AI21" s="31">
        <v>2</v>
      </c>
      <c r="AJ21" s="31">
        <v>3</v>
      </c>
      <c r="AK21" s="31" t="s">
        <v>187</v>
      </c>
      <c r="AL21" s="31" t="s">
        <v>321</v>
      </c>
      <c r="AM21" s="31" t="s">
        <v>319</v>
      </c>
      <c r="AN21" s="31" t="s">
        <v>190</v>
      </c>
      <c r="AO21" s="31" t="s">
        <v>191</v>
      </c>
      <c r="AP21" s="31" t="s">
        <v>175</v>
      </c>
      <c r="AQ21" s="31" t="s">
        <v>322</v>
      </c>
      <c r="AR21" s="31" t="s">
        <v>242</v>
      </c>
      <c r="AS21" s="31" t="s">
        <v>265</v>
      </c>
      <c r="AT21" s="31" t="s">
        <v>279</v>
      </c>
      <c r="AU21" s="31" t="s">
        <v>45</v>
      </c>
    </row>
    <row r="24" spans="1:47" x14ac:dyDescent="0.25">
      <c r="AB24" s="31" t="s">
        <v>186</v>
      </c>
      <c r="AC24" s="28">
        <v>7</v>
      </c>
      <c r="AD24" s="28">
        <v>11</v>
      </c>
    </row>
    <row r="25" spans="1:47" x14ac:dyDescent="0.25">
      <c r="AB25" s="31" t="s">
        <v>214</v>
      </c>
      <c r="AC25" s="28">
        <v>9</v>
      </c>
      <c r="AD25" s="28">
        <v>6</v>
      </c>
    </row>
    <row r="26" spans="1:47" x14ac:dyDescent="0.25">
      <c r="AB26" s="31" t="s">
        <v>200</v>
      </c>
      <c r="AC26" s="28">
        <v>3</v>
      </c>
      <c r="AD26" s="28">
        <v>2</v>
      </c>
    </row>
    <row r="27" spans="1:47" x14ac:dyDescent="0.25">
      <c r="AB27" s="31" t="s">
        <v>184</v>
      </c>
      <c r="AC27" s="28">
        <v>1</v>
      </c>
      <c r="AD27" s="28">
        <v>1</v>
      </c>
    </row>
    <row r="30" spans="1:47" x14ac:dyDescent="0.25">
      <c r="AB30" s="31" t="s">
        <v>186</v>
      </c>
      <c r="AC30" s="27">
        <f>AC24/20</f>
        <v>0.35</v>
      </c>
      <c r="AD30" s="27">
        <f>AD24/20</f>
        <v>0.55000000000000004</v>
      </c>
    </row>
    <row r="31" spans="1:47" x14ac:dyDescent="0.25">
      <c r="AB31" s="31" t="s">
        <v>214</v>
      </c>
      <c r="AC31" s="27">
        <f t="shared" ref="AC31:AD31" si="0">AC25/20</f>
        <v>0.45</v>
      </c>
      <c r="AD31" s="27">
        <f t="shared" si="0"/>
        <v>0.3</v>
      </c>
    </row>
    <row r="32" spans="1:47" x14ac:dyDescent="0.25">
      <c r="AB32" s="31" t="s">
        <v>200</v>
      </c>
      <c r="AC32" s="27">
        <f t="shared" ref="AC32:AD32" si="1">AC26/20</f>
        <v>0.15</v>
      </c>
      <c r="AD32" s="27">
        <f t="shared" si="1"/>
        <v>0.1</v>
      </c>
    </row>
    <row r="33" spans="28:30" x14ac:dyDescent="0.25">
      <c r="AB33" s="31" t="s">
        <v>184</v>
      </c>
      <c r="AC33" s="27">
        <f t="shared" ref="AC33:AD33" si="2">AC27/20</f>
        <v>0.05</v>
      </c>
      <c r="AD33" s="27">
        <f t="shared" si="2"/>
        <v>0.05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64C90-4F39-4945-8A60-185A935A81A0}">
  <dimension ref="A1:B7"/>
  <sheetViews>
    <sheetView zoomScale="85" zoomScaleNormal="85" workbookViewId="0">
      <selection sqref="A1:B6"/>
    </sheetView>
  </sheetViews>
  <sheetFormatPr defaultRowHeight="13.5" x14ac:dyDescent="0.25"/>
  <cols>
    <col min="1" max="1" width="22.85546875" bestFit="1" customWidth="1"/>
    <col min="2" max="2" width="101.140625" bestFit="1" customWidth="1"/>
  </cols>
  <sheetData>
    <row r="1" spans="1:2" x14ac:dyDescent="0.25">
      <c r="A1" s="33" t="s">
        <v>108</v>
      </c>
      <c r="B1" t="s">
        <v>336</v>
      </c>
    </row>
    <row r="2" spans="1:2" x14ac:dyDescent="0.25">
      <c r="A2" s="34" t="s">
        <v>195</v>
      </c>
      <c r="B2" s="35">
        <v>9</v>
      </c>
    </row>
    <row r="3" spans="1:2" x14ac:dyDescent="0.25">
      <c r="A3" s="34" t="s">
        <v>265</v>
      </c>
      <c r="B3" s="35">
        <v>3</v>
      </c>
    </row>
    <row r="4" spans="1:2" x14ac:dyDescent="0.25">
      <c r="A4" s="34" t="s">
        <v>225</v>
      </c>
      <c r="B4" s="35">
        <v>5</v>
      </c>
    </row>
    <row r="5" spans="1:2" x14ac:dyDescent="0.25">
      <c r="A5" s="34" t="s">
        <v>296</v>
      </c>
      <c r="B5" s="35">
        <v>1</v>
      </c>
    </row>
    <row r="6" spans="1:2" x14ac:dyDescent="0.25">
      <c r="A6" s="34" t="s">
        <v>178</v>
      </c>
      <c r="B6" s="35">
        <v>2</v>
      </c>
    </row>
    <row r="7" spans="1:2" x14ac:dyDescent="0.25">
      <c r="A7" s="34" t="s">
        <v>109</v>
      </c>
      <c r="B7" s="35">
        <v>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2EA16-666D-43E4-BBAB-1AF7C38E0E3B}">
  <dimension ref="A1:P119"/>
  <sheetViews>
    <sheetView topLeftCell="A26" zoomScale="93" workbookViewId="0">
      <selection activeCell="J128" sqref="J128"/>
    </sheetView>
  </sheetViews>
  <sheetFormatPr defaultRowHeight="13.5" x14ac:dyDescent="0.25"/>
  <sheetData>
    <row r="1" spans="1:2" x14ac:dyDescent="0.25">
      <c r="A1" t="s">
        <v>108</v>
      </c>
      <c r="B1" t="s">
        <v>323</v>
      </c>
    </row>
    <row r="2" spans="1:2" x14ac:dyDescent="0.25">
      <c r="A2" t="s">
        <v>324</v>
      </c>
      <c r="B2">
        <v>1</v>
      </c>
    </row>
    <row r="3" spans="1:2" x14ac:dyDescent="0.25">
      <c r="A3" s="36" t="s">
        <v>325</v>
      </c>
      <c r="B3">
        <v>6</v>
      </c>
    </row>
    <row r="4" spans="1:2" x14ac:dyDescent="0.25">
      <c r="A4" s="36" t="s">
        <v>326</v>
      </c>
      <c r="B4">
        <v>7</v>
      </c>
    </row>
    <row r="5" spans="1:2" x14ac:dyDescent="0.25">
      <c r="A5" s="36" t="s">
        <v>327</v>
      </c>
      <c r="B5">
        <v>6</v>
      </c>
    </row>
    <row r="6" spans="1:2" x14ac:dyDescent="0.25">
      <c r="A6" t="s">
        <v>109</v>
      </c>
      <c r="B6">
        <v>20</v>
      </c>
    </row>
    <row r="16" spans="1:2" x14ac:dyDescent="0.25">
      <c r="A16" t="s">
        <v>108</v>
      </c>
      <c r="B16" t="s">
        <v>328</v>
      </c>
    </row>
    <row r="17" spans="1:3" x14ac:dyDescent="0.25">
      <c r="A17" t="s">
        <v>183</v>
      </c>
      <c r="B17">
        <v>17</v>
      </c>
    </row>
    <row r="18" spans="1:3" x14ac:dyDescent="0.25">
      <c r="A18" t="s">
        <v>199</v>
      </c>
      <c r="B18">
        <v>2</v>
      </c>
    </row>
    <row r="19" spans="1:3" x14ac:dyDescent="0.25">
      <c r="A19" t="s">
        <v>211</v>
      </c>
      <c r="B19">
        <v>1</v>
      </c>
    </row>
    <row r="30" spans="1:3" x14ac:dyDescent="0.25">
      <c r="A30" t="s">
        <v>108</v>
      </c>
      <c r="B30" t="s">
        <v>329</v>
      </c>
    </row>
    <row r="31" spans="1:3" x14ac:dyDescent="0.25">
      <c r="A31" t="s">
        <v>70</v>
      </c>
      <c r="B31">
        <v>5</v>
      </c>
      <c r="C31" s="27">
        <f>B31/$B$39</f>
        <v>0.25</v>
      </c>
    </row>
    <row r="32" spans="1:3" x14ac:dyDescent="0.25">
      <c r="A32" t="s">
        <v>64</v>
      </c>
      <c r="B32">
        <v>5</v>
      </c>
      <c r="C32" s="27">
        <f>B32/$B$39</f>
        <v>0.25</v>
      </c>
    </row>
    <row r="33" spans="1:16" x14ac:dyDescent="0.25">
      <c r="A33" t="s">
        <v>61</v>
      </c>
      <c r="B33">
        <v>3</v>
      </c>
      <c r="C33" s="27">
        <f>B33/$B$39</f>
        <v>0.15</v>
      </c>
    </row>
    <row r="34" spans="1:16" x14ac:dyDescent="0.25">
      <c r="A34" t="s">
        <v>77</v>
      </c>
      <c r="B34">
        <v>2</v>
      </c>
      <c r="C34" s="27">
        <f>B34/$B$39</f>
        <v>0.1</v>
      </c>
    </row>
    <row r="35" spans="1:16" x14ac:dyDescent="0.25">
      <c r="A35" t="s">
        <v>208</v>
      </c>
      <c r="B35">
        <v>2</v>
      </c>
      <c r="C35" s="27">
        <f>B35/$B$39</f>
        <v>0.1</v>
      </c>
    </row>
    <row r="36" spans="1:16" x14ac:dyDescent="0.25">
      <c r="A36" t="s">
        <v>55</v>
      </c>
      <c r="B36">
        <v>1</v>
      </c>
      <c r="C36" s="27">
        <f>B36/$B$39</f>
        <v>0.05</v>
      </c>
    </row>
    <row r="37" spans="1:16" x14ac:dyDescent="0.25">
      <c r="A37" t="s">
        <v>303</v>
      </c>
      <c r="B37">
        <v>1</v>
      </c>
      <c r="C37" s="27">
        <f>B37/$B$39</f>
        <v>0.05</v>
      </c>
    </row>
    <row r="38" spans="1:16" x14ac:dyDescent="0.25">
      <c r="A38" t="s">
        <v>39</v>
      </c>
      <c r="B38">
        <v>1</v>
      </c>
      <c r="C38" s="27">
        <f>B38/$B$39</f>
        <v>0.05</v>
      </c>
    </row>
    <row r="39" spans="1:16" x14ac:dyDescent="0.25">
      <c r="B39">
        <f>SUM(B31:B38)</f>
        <v>20</v>
      </c>
    </row>
    <row r="44" spans="1:16" x14ac:dyDescent="0.25">
      <c r="A44" s="28"/>
      <c r="B44" s="31" t="s">
        <v>107</v>
      </c>
      <c r="C44" s="31" t="s">
        <v>330</v>
      </c>
      <c r="D44" s="31" t="s">
        <v>31</v>
      </c>
      <c r="E44" s="28" t="s">
        <v>331</v>
      </c>
      <c r="F44" s="31" t="s">
        <v>83</v>
      </c>
      <c r="G44" s="31" t="s">
        <v>332</v>
      </c>
      <c r="J44" s="28"/>
      <c r="K44" s="31"/>
      <c r="L44" s="31"/>
      <c r="M44" s="31"/>
      <c r="N44" s="28"/>
      <c r="O44" s="31"/>
      <c r="P44" s="31"/>
    </row>
    <row r="45" spans="1:16" x14ac:dyDescent="0.25">
      <c r="A45" s="31" t="s">
        <v>186</v>
      </c>
      <c r="B45" s="27">
        <v>1</v>
      </c>
      <c r="C45" s="27">
        <v>0.8</v>
      </c>
      <c r="D45" s="27">
        <v>0.25</v>
      </c>
      <c r="E45" s="27">
        <v>0.35</v>
      </c>
      <c r="F45" s="27">
        <v>0.55000000000000004</v>
      </c>
      <c r="G45" s="27">
        <v>0.8</v>
      </c>
      <c r="J45" s="31"/>
      <c r="K45" s="28"/>
      <c r="L45" s="28"/>
      <c r="M45" s="28"/>
      <c r="N45" s="28"/>
      <c r="O45" s="28"/>
      <c r="P45" s="28"/>
    </row>
    <row r="46" spans="1:16" x14ac:dyDescent="0.25">
      <c r="A46" s="31" t="s">
        <v>214</v>
      </c>
      <c r="B46" s="27">
        <v>0</v>
      </c>
      <c r="C46" s="27">
        <v>0.1</v>
      </c>
      <c r="D46" s="27">
        <v>0.35</v>
      </c>
      <c r="E46" s="27">
        <v>0.45</v>
      </c>
      <c r="F46" s="27">
        <v>0.2</v>
      </c>
      <c r="G46" s="27">
        <v>0.1</v>
      </c>
      <c r="J46" s="31"/>
      <c r="K46" s="28"/>
      <c r="L46" s="28"/>
      <c r="M46" s="28"/>
      <c r="N46" s="28"/>
      <c r="O46" s="28"/>
      <c r="P46" s="28"/>
    </row>
    <row r="47" spans="1:16" x14ac:dyDescent="0.25">
      <c r="A47" s="31" t="s">
        <v>200</v>
      </c>
      <c r="B47" s="27">
        <v>0</v>
      </c>
      <c r="C47" s="27">
        <v>0.1</v>
      </c>
      <c r="D47" s="27">
        <v>0.2</v>
      </c>
      <c r="E47" s="27">
        <v>0.2</v>
      </c>
      <c r="F47" s="27">
        <v>0.15</v>
      </c>
      <c r="G47" s="27">
        <v>0.05</v>
      </c>
      <c r="J47" s="31"/>
      <c r="K47" s="28"/>
      <c r="L47" s="28"/>
      <c r="M47" s="28"/>
      <c r="N47" s="28"/>
      <c r="O47" s="28"/>
      <c r="P47" s="28"/>
    </row>
    <row r="48" spans="1:16" x14ac:dyDescent="0.25">
      <c r="A48" s="31" t="s">
        <v>184</v>
      </c>
      <c r="B48" s="27">
        <v>0</v>
      </c>
      <c r="C48" s="27">
        <v>0</v>
      </c>
      <c r="D48" s="27">
        <v>0.2</v>
      </c>
      <c r="E48" s="27">
        <v>0</v>
      </c>
      <c r="F48" s="27">
        <v>0.1</v>
      </c>
      <c r="G48" s="27">
        <v>0.05</v>
      </c>
      <c r="J48" s="31"/>
      <c r="K48" s="28"/>
      <c r="L48" s="28"/>
      <c r="M48" s="28"/>
      <c r="N48" s="28"/>
      <c r="O48" s="28"/>
      <c r="P48" s="28"/>
    </row>
    <row r="49" spans="1:16" x14ac:dyDescent="0.25">
      <c r="K49" s="27"/>
      <c r="L49" s="27"/>
      <c r="M49" s="27"/>
      <c r="N49" s="27"/>
      <c r="O49" s="27"/>
      <c r="P49" s="27"/>
    </row>
    <row r="50" spans="1:16" x14ac:dyDescent="0.25">
      <c r="K50" s="27"/>
      <c r="L50" s="27"/>
      <c r="M50" s="27"/>
      <c r="N50" s="27"/>
      <c r="O50" s="27"/>
      <c r="P50" s="27"/>
    </row>
    <row r="51" spans="1:16" x14ac:dyDescent="0.25">
      <c r="K51" s="27"/>
      <c r="L51" s="27"/>
      <c r="M51" s="27"/>
      <c r="N51" s="27"/>
      <c r="O51" s="27"/>
      <c r="P51" s="27"/>
    </row>
    <row r="52" spans="1:16" x14ac:dyDescent="0.25">
      <c r="K52" s="27"/>
      <c r="L52" s="27"/>
      <c r="M52" s="27"/>
      <c r="N52" s="27"/>
      <c r="O52" s="27"/>
      <c r="P52" s="27"/>
    </row>
    <row r="53" spans="1:16" x14ac:dyDescent="0.25">
      <c r="K53" s="27"/>
      <c r="L53" s="27"/>
      <c r="M53" s="27"/>
      <c r="N53" s="27"/>
      <c r="O53" s="27"/>
      <c r="P53" s="27"/>
    </row>
    <row r="61" spans="1:16" x14ac:dyDescent="0.25">
      <c r="B61" t="s">
        <v>333</v>
      </c>
      <c r="C61" t="s">
        <v>334</v>
      </c>
    </row>
    <row r="62" spans="1:16" x14ac:dyDescent="0.25">
      <c r="A62" t="s">
        <v>186</v>
      </c>
      <c r="B62" s="27">
        <v>0.35</v>
      </c>
      <c r="C62" s="27">
        <v>0.55000000000000004</v>
      </c>
    </row>
    <row r="63" spans="1:16" x14ac:dyDescent="0.25">
      <c r="A63" t="s">
        <v>214</v>
      </c>
      <c r="B63" s="27">
        <v>0.45</v>
      </c>
      <c r="C63" s="27">
        <v>0.3</v>
      </c>
    </row>
    <row r="64" spans="1:16" x14ac:dyDescent="0.25">
      <c r="A64" t="s">
        <v>200</v>
      </c>
      <c r="B64" s="27">
        <v>0.15</v>
      </c>
      <c r="C64" s="27">
        <v>0.1</v>
      </c>
    </row>
    <row r="65" spans="1:3" x14ac:dyDescent="0.25">
      <c r="A65" t="s">
        <v>184</v>
      </c>
      <c r="B65" s="27">
        <v>0.05</v>
      </c>
      <c r="C65" s="27">
        <v>0.05</v>
      </c>
    </row>
    <row r="78" spans="1:3" x14ac:dyDescent="0.25">
      <c r="A78" t="s">
        <v>108</v>
      </c>
      <c r="B78" t="s">
        <v>335</v>
      </c>
    </row>
    <row r="79" spans="1:3" x14ac:dyDescent="0.25">
      <c r="A79" s="28" t="s">
        <v>110</v>
      </c>
      <c r="B79">
        <v>6</v>
      </c>
    </row>
    <row r="80" spans="1:3" x14ac:dyDescent="0.25">
      <c r="A80" s="28" t="s">
        <v>113</v>
      </c>
      <c r="B80">
        <v>7</v>
      </c>
    </row>
    <row r="81" spans="1:2" x14ac:dyDescent="0.25">
      <c r="A81" s="17" t="s">
        <v>114</v>
      </c>
      <c r="B81">
        <v>4</v>
      </c>
    </row>
    <row r="82" spans="1:2" x14ac:dyDescent="0.25">
      <c r="A82" s="28" t="s">
        <v>112</v>
      </c>
      <c r="B82">
        <v>0</v>
      </c>
    </row>
    <row r="83" spans="1:2" x14ac:dyDescent="0.25">
      <c r="A83" s="28" t="s">
        <v>111</v>
      </c>
      <c r="B83">
        <v>3</v>
      </c>
    </row>
    <row r="96" spans="1:2" x14ac:dyDescent="0.25">
      <c r="A96" t="s">
        <v>108</v>
      </c>
      <c r="B96" t="s">
        <v>336</v>
      </c>
    </row>
    <row r="97" spans="1:3" x14ac:dyDescent="0.25">
      <c r="A97" t="s">
        <v>225</v>
      </c>
      <c r="B97">
        <v>5</v>
      </c>
      <c r="C97" s="27">
        <f>B97/20</f>
        <v>0.25</v>
      </c>
    </row>
    <row r="98" spans="1:3" x14ac:dyDescent="0.25">
      <c r="A98" t="s">
        <v>195</v>
      </c>
      <c r="B98">
        <v>9</v>
      </c>
      <c r="C98" s="27">
        <f t="shared" ref="C98:C101" si="0">B98/20</f>
        <v>0.45</v>
      </c>
    </row>
    <row r="99" spans="1:3" x14ac:dyDescent="0.25">
      <c r="A99" t="s">
        <v>178</v>
      </c>
      <c r="B99">
        <v>2</v>
      </c>
      <c r="C99" s="27">
        <f t="shared" si="0"/>
        <v>0.1</v>
      </c>
    </row>
    <row r="100" spans="1:3" x14ac:dyDescent="0.25">
      <c r="A100" t="s">
        <v>265</v>
      </c>
      <c r="B100">
        <v>3</v>
      </c>
      <c r="C100" s="27">
        <f t="shared" si="0"/>
        <v>0.15</v>
      </c>
    </row>
    <row r="101" spans="1:3" x14ac:dyDescent="0.25">
      <c r="A101" t="s">
        <v>296</v>
      </c>
      <c r="B101">
        <v>1</v>
      </c>
      <c r="C101" s="27">
        <f t="shared" si="0"/>
        <v>0.05</v>
      </c>
    </row>
    <row r="110" spans="1:3" x14ac:dyDescent="0.25">
      <c r="C110" s="27"/>
    </row>
    <row r="111" spans="1:3" x14ac:dyDescent="0.25">
      <c r="A111" t="s">
        <v>343</v>
      </c>
      <c r="B111">
        <v>0</v>
      </c>
      <c r="C111" s="27">
        <f>B111/20</f>
        <v>0</v>
      </c>
    </row>
    <row r="112" spans="1:3" x14ac:dyDescent="0.25">
      <c r="A112" t="s">
        <v>179</v>
      </c>
      <c r="B112">
        <v>1</v>
      </c>
      <c r="C112" s="27">
        <f>B112/20</f>
        <v>0.05</v>
      </c>
    </row>
    <row r="113" spans="1:3" x14ac:dyDescent="0.25">
      <c r="A113" t="s">
        <v>340</v>
      </c>
      <c r="B113">
        <v>1</v>
      </c>
      <c r="C113" s="27">
        <f>B113/20</f>
        <v>0.05</v>
      </c>
    </row>
    <row r="114" spans="1:3" x14ac:dyDescent="0.25">
      <c r="A114" t="s">
        <v>342</v>
      </c>
      <c r="B114">
        <v>1</v>
      </c>
      <c r="C114" s="27">
        <f>B114/20</f>
        <v>0.05</v>
      </c>
    </row>
    <row r="115" spans="1:3" x14ac:dyDescent="0.25">
      <c r="A115" t="s">
        <v>339</v>
      </c>
      <c r="B115">
        <v>4</v>
      </c>
      <c r="C115" s="27">
        <f>B115/20</f>
        <v>0.2</v>
      </c>
    </row>
    <row r="116" spans="1:3" x14ac:dyDescent="0.25">
      <c r="A116" t="s">
        <v>341</v>
      </c>
      <c r="B116">
        <v>5</v>
      </c>
      <c r="C116" s="27">
        <f>B116/20</f>
        <v>0.25</v>
      </c>
    </row>
    <row r="117" spans="1:3" x14ac:dyDescent="0.25">
      <c r="A117" t="s">
        <v>337</v>
      </c>
      <c r="B117">
        <v>11</v>
      </c>
      <c r="C117" s="27">
        <f>B117/20</f>
        <v>0.55000000000000004</v>
      </c>
    </row>
    <row r="118" spans="1:3" x14ac:dyDescent="0.25">
      <c r="A118" t="s">
        <v>338</v>
      </c>
      <c r="B118">
        <v>11</v>
      </c>
      <c r="C118" s="27">
        <f>B118/20</f>
        <v>0.55000000000000004</v>
      </c>
    </row>
    <row r="119" spans="1:3" x14ac:dyDescent="0.25">
      <c r="A119" t="s">
        <v>279</v>
      </c>
      <c r="B119">
        <v>19</v>
      </c>
      <c r="C119" s="27">
        <f>B119/20</f>
        <v>0.95</v>
      </c>
    </row>
  </sheetData>
  <sortState xmlns:xlrd2="http://schemas.microsoft.com/office/spreadsheetml/2017/richdata2" ref="A111:C119">
    <sortCondition ref="C111:C119"/>
  </sortState>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ham veriler</vt:lpstr>
      <vt:lpstr>İşveren ham veriler</vt:lpstr>
      <vt:lpstr>Analize dahil edilenler</vt:lpstr>
      <vt:lpstr>pivot</vt:lpstr>
      <vt:lpstr>grafikler</vt:lpstr>
      <vt:lpstr>İşveren dahil edilenler</vt:lpstr>
      <vt:lpstr>işveren pivot</vt:lpstr>
      <vt:lpstr>işveren grafikler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Thiz</dc:creator>
  <cp:lastModifiedBy>Tayfun HIZ</cp:lastModifiedBy>
  <dcterms:created xsi:type="dcterms:W3CDTF">2026-06-16T13:28:17Z</dcterms:created>
  <dcterms:modified xsi:type="dcterms:W3CDTF">2026-07-29T15:58:44Z</dcterms:modified>
</cp:coreProperties>
</file>